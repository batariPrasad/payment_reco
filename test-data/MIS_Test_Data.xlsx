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S" sheetId="1" state="visible" r:id="rId1"/>
    <sheet name="Expected Results" sheetId="2" state="visible" r:id="rId2"/>
    <sheet name="Guide" sheetId="3" state="visible" r:id="rId3"/>
  </sheets>
  <definedNames>
    <definedName name="_xlnm._FilterDatabase" localSheetId="1" hidden="1">'Expected Results'!$A$1:$N$77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sz val="10"/>
    </font>
    <font>
      <name val="Arial"/>
      <color rgb="000000FF"/>
      <sz val="10"/>
    </font>
    <font>
      <name val="Arial"/>
      <b val="1"/>
      <color rgb="00C4400F"/>
      <sz val="15"/>
    </font>
    <font>
      <name val="Arial"/>
      <b val="1"/>
      <color rgb="00C4400F"/>
      <sz val="12"/>
    </font>
  </fonts>
  <fills count="4">
    <fill>
      <patternFill/>
    </fill>
    <fill>
      <patternFill patternType="gray125"/>
    </fill>
    <fill>
      <patternFill patternType="solid">
        <fgColor rgb="00C4400F"/>
      </patternFill>
    </fill>
    <fill>
      <patternFill patternType="solid">
        <fgColor rgb="00FFF7CC"/>
      </patternFill>
    </fill>
  </fills>
  <borders count="2">
    <border>
      <left/>
      <right/>
      <top/>
      <bottom/>
      <diagonal/>
    </border>
    <border>
      <left style="thin">
        <color rgb="00E0D2C4"/>
      </left>
      <right style="thin">
        <color rgb="00E0D2C4"/>
      </right>
      <top style="thin">
        <color rgb="00E0D2C4"/>
      </top>
      <bottom style="thin">
        <color rgb="00E0D2C4"/>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49" fontId="2" fillId="0" borderId="1" pivotButton="0" quotePrefix="0" xfId="0"/>
    <xf numFmtId="0" fontId="2" fillId="0" borderId="1" pivotButton="0" quotePrefix="0" xfId="0"/>
    <xf numFmtId="1" fontId="2" fillId="0" borderId="1" pivotButton="0" quotePrefix="0" xfId="0"/>
    <xf numFmtId="0" fontId="3" fillId="0" borderId="1" applyAlignment="1" pivotButton="0" quotePrefix="0" xfId="0">
      <alignment vertical="top" wrapText="1"/>
    </xf>
    <xf numFmtId="49" fontId="2" fillId="0" borderId="1" applyAlignment="1" pivotButton="0" quotePrefix="0" xfId="0">
      <alignment vertical="top" wrapText="1"/>
    </xf>
    <xf numFmtId="0" fontId="2" fillId="0" borderId="1" applyAlignment="1" pivotButton="0" quotePrefix="0" xfId="0">
      <alignment vertical="top" wrapText="1"/>
    </xf>
    <xf numFmtId="4" fontId="4" fillId="0" borderId="1" applyAlignment="1" pivotButton="0" quotePrefix="0" xfId="0">
      <alignment vertical="top" wrapText="1"/>
    </xf>
    <xf numFmtId="4" fontId="2" fillId="0" borderId="1" applyAlignment="1" pivotButton="0" quotePrefix="0" xfId="0">
      <alignment vertical="top" wrapText="1"/>
    </xf>
    <xf numFmtId="0" fontId="2" fillId="3" borderId="1" applyAlignment="1" pivotButton="0" quotePrefix="0" xfId="0">
      <alignment vertical="top" wrapText="1"/>
    </xf>
    <xf numFmtId="0" fontId="5"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6" fillId="0" borderId="0" pivotButton="0" quotePrefix="0" xfId="0"/>
    <xf numFmtId="0" fontId="0" fillId="3" borderId="1" pivotButton="0" quotePrefix="0" xfId="0"/>
    <xf numFmtId="0" fontId="3" fillId="0" borderId="0" pivotButton="0" quotePrefix="0" xfId="0"/>
    <xf numFmtId="1" fontId="0" fillId="3" borderId="1" pivotButton="0" quotePrefix="0" xfId="0"/>
    <xf numFmtId="4" fontId="2" fillId="0" borderId="1" pivotButton="0" quotePrefix="0" xfId="0"/>
    <xf numFmtId="4" fontId="0" fillId="3" borderId="1" pivotButton="0" quotePrefix="0" xfId="0"/>
    <xf numFmtId="0" fontId="2" fillId="0" borderId="0" pivotButton="0" quotePrefix="0" xfId="0"/>
    <xf numFmtId="0" fontId="4" fillId="0" borderId="1" pivotButton="0" quotePrefix="0" xfId="0"/>
  </cellXfs>
  <cellStyles count="1">
    <cellStyle name="Normal" xfId="0" builtinId="0" hidden="0"/>
  </cellStyles>
  <dxfs count="2">
    <dxf>
      <fill>
        <patternFill patternType="solid">
          <bgColor rgb="00C6EFCE"/>
        </patternFill>
      </fill>
    </dxf>
    <dxf>
      <fill>
        <patternFill patternType="solid">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0" customWidth="1" min="2" max="2"/>
    <col width="26" customWidth="1" min="3" max="3"/>
    <col width="10" customWidth="1" min="4" max="4"/>
    <col width="8" customWidth="1" min="5" max="5"/>
    <col width="6" customWidth="1" min="6" max="6"/>
    <col width="11" customWidth="1" min="7" max="7"/>
    <col width="10" customWidth="1" min="8" max="8"/>
    <col width="12" customWidth="1" min="9" max="9"/>
    <col width="10" customWidth="1" min="10" max="10"/>
    <col width="10" customWidth="1" min="11" max="11"/>
    <col width="10" customWidth="1" min="12" max="12"/>
    <col width="10" customWidth="1" min="13" max="13"/>
    <col width="10" customWidth="1" min="14" max="14"/>
    <col width="11" customWidth="1" min="15" max="15"/>
    <col width="10" customWidth="1" min="16" max="16"/>
    <col width="18" customWidth="1" min="17" max="17"/>
    <col width="11" customWidth="1" min="18" max="18"/>
    <col width="10" customWidth="1" min="19" max="19"/>
    <col width="9" customWidth="1" min="20" max="20"/>
    <col width="14" customWidth="1" min="21" max="21"/>
  </cols>
  <sheetData>
    <row r="1">
      <c r="A1" s="1" t="inlineStr">
        <is>
          <t>AWB</t>
        </is>
      </c>
      <c r="B1" s="1" t="inlineStr">
        <is>
          <t>Merchant</t>
        </is>
      </c>
      <c r="C1" s="1" t="inlineStr">
        <is>
          <t>Master Shipper</t>
        </is>
      </c>
      <c r="D1" s="1" t="inlineStr">
        <is>
          <t>Mode</t>
        </is>
      </c>
      <c r="E1" s="1" t="inlineStr">
        <is>
          <t>Weight</t>
        </is>
      </c>
      <c r="F1" s="1" t="inlineStr">
        <is>
          <t>Zone</t>
        </is>
      </c>
      <c r="G1" s="1" t="inlineStr">
        <is>
          <t>Status</t>
        </is>
      </c>
      <c r="H1" s="1" t="inlineStr">
        <is>
          <t>Payment</t>
        </is>
      </c>
      <c r="I1" s="1" t="inlineStr">
        <is>
          <t>Collectable Amount</t>
        </is>
      </c>
      <c r="J1" s="1" t="inlineStr">
        <is>
          <t>Forward Freight</t>
        </is>
      </c>
      <c r="K1" s="1" t="inlineStr">
        <is>
          <t>RTO Freight</t>
        </is>
      </c>
      <c r="L1" s="1" t="inlineStr">
        <is>
          <t>Reverse Charges</t>
        </is>
      </c>
      <c r="M1" s="1" t="inlineStr">
        <is>
          <t>COD Charge</t>
        </is>
      </c>
      <c r="N1" s="1" t="inlineStr">
        <is>
          <t>Gross Freight</t>
        </is>
      </c>
      <c r="O1" s="1" t="inlineStr">
        <is>
          <t>Total Freight</t>
        </is>
      </c>
      <c r="P1" s="1" t="inlineStr">
        <is>
          <t>MID</t>
        </is>
      </c>
      <c r="Q1" s="1" t="inlineStr">
        <is>
          <t>Order ID</t>
        </is>
      </c>
      <c r="R1" s="1" t="inlineStr">
        <is>
          <t>Order Value</t>
        </is>
      </c>
      <c r="S1" s="1" t="inlineStr">
        <is>
          <t>sku_code</t>
        </is>
      </c>
      <c r="T1" s="1" t="inlineStr">
        <is>
          <t>sku_count</t>
        </is>
      </c>
      <c r="U1" s="1" t="inlineStr">
        <is>
          <t>product_quantity_combined</t>
        </is>
      </c>
    </row>
    <row r="2">
      <c r="A2" s="2" t="inlineStr">
        <is>
          <t>88800000000001</t>
        </is>
      </c>
      <c r="B2" s="3" t="inlineStr">
        <is>
          <t>Pokonut</t>
        </is>
      </c>
      <c r="C2" s="3" t="inlineStr">
        <is>
          <t>DelhiveryDirectSurfaceAC</t>
        </is>
      </c>
      <c r="D2" s="3" t="inlineStr">
        <is>
          <t>SURFACE</t>
        </is>
      </c>
      <c r="E2" s="3" t="n">
        <v>0.5</v>
      </c>
      <c r="F2" s="3" t="inlineStr">
        <is>
          <t>A</t>
        </is>
      </c>
      <c r="G2" s="3" t="inlineStr">
        <is>
          <t>Delivered</t>
        </is>
      </c>
      <c r="H2" s="3" t="inlineStr">
        <is>
          <t>PREPAID</t>
        </is>
      </c>
      <c r="I2" s="3" t="n">
        <v>0</v>
      </c>
      <c r="J2" s="3" t="n">
        <v>20</v>
      </c>
      <c r="K2" s="3" t="n">
        <v>0</v>
      </c>
      <c r="L2" s="3" t="n">
        <v>0</v>
      </c>
      <c r="M2" s="3" t="n">
        <v>0</v>
      </c>
      <c r="N2" s="3" t="n">
        <v>20</v>
      </c>
      <c r="O2" s="3" t="n">
        <v>23.6</v>
      </c>
      <c r="P2" s="3" t="inlineStr">
        <is>
          <t>MID0001</t>
        </is>
      </c>
      <c r="Q2" s="3" t="inlineStr">
        <is>
          <t>ORD-TEST-0001</t>
        </is>
      </c>
      <c r="R2" s="3" t="n">
        <v>799</v>
      </c>
      <c r="S2" s="3" t="inlineStr">
        <is>
          <t>TEST-SKU</t>
        </is>
      </c>
      <c r="T2" s="3" t="n">
        <v>1</v>
      </c>
      <c r="U2" s="3" t="inlineStr">
        <is>
          <t>1</t>
        </is>
      </c>
    </row>
    <row r="3">
      <c r="A3" s="2" t="inlineStr">
        <is>
          <t>88800000000002</t>
        </is>
      </c>
      <c r="B3" s="3" t="inlineStr">
        <is>
          <t>Pokonut</t>
        </is>
      </c>
      <c r="C3" s="3" t="inlineStr">
        <is>
          <t>DelhiveryDirectSurfaceAC</t>
        </is>
      </c>
      <c r="D3" s="3" t="inlineStr">
        <is>
          <t>SURFACE</t>
        </is>
      </c>
      <c r="E3" s="3" t="n">
        <v>0.5</v>
      </c>
      <c r="F3" s="3" t="inlineStr">
        <is>
          <t>B</t>
        </is>
      </c>
      <c r="G3" s="3" t="inlineStr">
        <is>
          <t>Delivered</t>
        </is>
      </c>
      <c r="H3" s="3" t="inlineStr">
        <is>
          <t>PREPAID</t>
        </is>
      </c>
      <c r="I3" s="3" t="n">
        <v>0</v>
      </c>
      <c r="J3" s="3" t="n">
        <v>22</v>
      </c>
      <c r="K3" s="3" t="n">
        <v>0</v>
      </c>
      <c r="L3" s="3" t="n">
        <v>0</v>
      </c>
      <c r="M3" s="3" t="n">
        <v>0</v>
      </c>
      <c r="N3" s="3" t="n">
        <v>22</v>
      </c>
      <c r="O3" s="3" t="n">
        <v>25.96</v>
      </c>
      <c r="P3" s="3" t="inlineStr">
        <is>
          <t>MID0002</t>
        </is>
      </c>
      <c r="Q3" s="3" t="inlineStr">
        <is>
          <t>ORD-TEST-0002</t>
        </is>
      </c>
      <c r="R3" s="3" t="n">
        <v>799</v>
      </c>
      <c r="S3" s="3" t="inlineStr">
        <is>
          <t>TEST-SKU</t>
        </is>
      </c>
      <c r="T3" s="3" t="n">
        <v>1</v>
      </c>
      <c r="U3" s="3" t="inlineStr">
        <is>
          <t>1</t>
        </is>
      </c>
    </row>
    <row r="4">
      <c r="A4" s="2" t="inlineStr">
        <is>
          <t>88800000000003</t>
        </is>
      </c>
      <c r="B4" s="3" t="inlineStr">
        <is>
          <t>Pokonut</t>
        </is>
      </c>
      <c r="C4" s="3" t="inlineStr">
        <is>
          <t>DelhiveryDirectSurfaceAC</t>
        </is>
      </c>
      <c r="D4" s="3" t="inlineStr">
        <is>
          <t>SURFACE</t>
        </is>
      </c>
      <c r="E4" s="3" t="n">
        <v>1</v>
      </c>
      <c r="F4" s="3" t="inlineStr">
        <is>
          <t>C</t>
        </is>
      </c>
      <c r="G4" s="3" t="inlineStr">
        <is>
          <t>Delivered</t>
        </is>
      </c>
      <c r="H4" s="3" t="inlineStr">
        <is>
          <t>PREPAID</t>
        </is>
      </c>
      <c r="I4" s="3" t="n">
        <v>0</v>
      </c>
      <c r="J4" s="3" t="n">
        <v>58</v>
      </c>
      <c r="K4" s="3" t="n">
        <v>0</v>
      </c>
      <c r="L4" s="3" t="n">
        <v>0</v>
      </c>
      <c r="M4" s="3" t="n">
        <v>0</v>
      </c>
      <c r="N4" s="3" t="n">
        <v>58</v>
      </c>
      <c r="O4" s="3" t="n">
        <v>68.44</v>
      </c>
      <c r="P4" s="3" t="inlineStr">
        <is>
          <t>MID0003</t>
        </is>
      </c>
      <c r="Q4" s="3" t="inlineStr">
        <is>
          <t>ORD-TEST-0003</t>
        </is>
      </c>
      <c r="R4" s="3" t="n">
        <v>799</v>
      </c>
      <c r="S4" s="3" t="inlineStr">
        <is>
          <t>TEST-SKU</t>
        </is>
      </c>
      <c r="T4" s="3" t="n">
        <v>1</v>
      </c>
      <c r="U4" s="3" t="inlineStr">
        <is>
          <t>1</t>
        </is>
      </c>
    </row>
    <row r="5">
      <c r="A5" s="2" t="inlineStr">
        <is>
          <t>88800000000004</t>
        </is>
      </c>
      <c r="B5" s="3" t="inlineStr">
        <is>
          <t>Pokonut</t>
        </is>
      </c>
      <c r="C5" s="3" t="inlineStr">
        <is>
          <t>DelhiveryDirectSurfaceAC</t>
        </is>
      </c>
      <c r="D5" s="3" t="inlineStr">
        <is>
          <t>SURFACE</t>
        </is>
      </c>
      <c r="E5" s="3" t="n">
        <v>1.5</v>
      </c>
      <c r="F5" s="3" t="inlineStr">
        <is>
          <t>C</t>
        </is>
      </c>
      <c r="G5" s="3" t="inlineStr">
        <is>
          <t>Delivered</t>
        </is>
      </c>
      <c r="H5" s="3" t="inlineStr">
        <is>
          <t>PREPAID</t>
        </is>
      </c>
      <c r="I5" s="3" t="n">
        <v>0</v>
      </c>
      <c r="J5" s="3" t="n">
        <v>87</v>
      </c>
      <c r="K5" s="3" t="n">
        <v>0</v>
      </c>
      <c r="L5" s="3" t="n">
        <v>0</v>
      </c>
      <c r="M5" s="3" t="n">
        <v>0</v>
      </c>
      <c r="N5" s="3" t="n">
        <v>87</v>
      </c>
      <c r="O5" s="3" t="n">
        <v>102.66</v>
      </c>
      <c r="P5" s="3" t="inlineStr">
        <is>
          <t>MID0004</t>
        </is>
      </c>
      <c r="Q5" s="3" t="inlineStr">
        <is>
          <t>ORD-TEST-0004</t>
        </is>
      </c>
      <c r="R5" s="3" t="n">
        <v>799</v>
      </c>
      <c r="S5" s="3" t="inlineStr">
        <is>
          <t>TEST-SKU</t>
        </is>
      </c>
      <c r="T5" s="3" t="n">
        <v>1</v>
      </c>
      <c r="U5" s="3" t="inlineStr">
        <is>
          <t>1</t>
        </is>
      </c>
    </row>
    <row r="6">
      <c r="A6" s="2" t="inlineStr">
        <is>
          <t>88800000000005</t>
        </is>
      </c>
      <c r="B6" s="3" t="inlineStr">
        <is>
          <t>Pokonut</t>
        </is>
      </c>
      <c r="C6" s="3" t="inlineStr">
        <is>
          <t>DelhiveryDirectSurfaceAC</t>
        </is>
      </c>
      <c r="D6" s="3" t="inlineStr">
        <is>
          <t>SURFACE</t>
        </is>
      </c>
      <c r="E6" s="3" t="n">
        <v>0.5</v>
      </c>
      <c r="F6" s="3" t="inlineStr">
        <is>
          <t>D</t>
        </is>
      </c>
      <c r="G6" s="3" t="inlineStr">
        <is>
          <t>Delivered</t>
        </is>
      </c>
      <c r="H6" s="3" t="inlineStr">
        <is>
          <t>COD</t>
        </is>
      </c>
      <c r="I6" s="3" t="n">
        <v>500</v>
      </c>
      <c r="J6" s="3" t="n">
        <v>33</v>
      </c>
      <c r="K6" s="3" t="n">
        <v>0</v>
      </c>
      <c r="L6" s="3" t="n">
        <v>0</v>
      </c>
      <c r="M6" s="3" t="n">
        <v>15</v>
      </c>
      <c r="N6" s="3" t="n">
        <v>48</v>
      </c>
      <c r="O6" s="3" t="n">
        <v>56.64</v>
      </c>
      <c r="P6" s="3" t="inlineStr">
        <is>
          <t>MID0005</t>
        </is>
      </c>
      <c r="Q6" s="3" t="inlineStr">
        <is>
          <t>ORD-TEST-0005</t>
        </is>
      </c>
      <c r="R6" s="3" t="n">
        <v>799</v>
      </c>
      <c r="S6" s="3" t="inlineStr">
        <is>
          <t>TEST-SKU</t>
        </is>
      </c>
      <c r="T6" s="3" t="n">
        <v>1</v>
      </c>
      <c r="U6" s="3" t="inlineStr">
        <is>
          <t>1</t>
        </is>
      </c>
    </row>
    <row r="7">
      <c r="A7" s="2" t="inlineStr">
        <is>
          <t>88800000000006</t>
        </is>
      </c>
      <c r="B7" s="3" t="inlineStr">
        <is>
          <t>Pokonut</t>
        </is>
      </c>
      <c r="C7" s="3" t="inlineStr">
        <is>
          <t>DelhiveryDirectSurfaceAC</t>
        </is>
      </c>
      <c r="D7" s="3" t="inlineStr">
        <is>
          <t>SURFACE</t>
        </is>
      </c>
      <c r="E7" s="3" t="n">
        <v>0.5</v>
      </c>
      <c r="F7" s="3" t="inlineStr">
        <is>
          <t>E</t>
        </is>
      </c>
      <c r="G7" s="3" t="inlineStr">
        <is>
          <t>Delivered</t>
        </is>
      </c>
      <c r="H7" s="3" t="inlineStr">
        <is>
          <t>COD</t>
        </is>
      </c>
      <c r="I7" s="3" t="n">
        <v>2000</v>
      </c>
      <c r="J7" s="3" t="n">
        <v>39</v>
      </c>
      <c r="K7" s="3" t="n">
        <v>0</v>
      </c>
      <c r="L7" s="3" t="n">
        <v>0</v>
      </c>
      <c r="M7" s="3" t="n">
        <v>22</v>
      </c>
      <c r="N7" s="3" t="n">
        <v>61</v>
      </c>
      <c r="O7" s="3" t="n">
        <v>71.98</v>
      </c>
      <c r="P7" s="3" t="inlineStr">
        <is>
          <t>MID0006</t>
        </is>
      </c>
      <c r="Q7" s="3" t="inlineStr">
        <is>
          <t>ORD-TEST-0006</t>
        </is>
      </c>
      <c r="R7" s="3" t="n">
        <v>799</v>
      </c>
      <c r="S7" s="3" t="inlineStr">
        <is>
          <t>TEST-SKU</t>
        </is>
      </c>
      <c r="T7" s="3" t="n">
        <v>1</v>
      </c>
      <c r="U7" s="3" t="inlineStr">
        <is>
          <t>1</t>
        </is>
      </c>
    </row>
    <row r="8">
      <c r="A8" s="2" t="inlineStr">
        <is>
          <t>88800000000007</t>
        </is>
      </c>
      <c r="B8" s="3" t="inlineStr">
        <is>
          <t>Pokonut</t>
        </is>
      </c>
      <c r="C8" s="3" t="inlineStr">
        <is>
          <t>DelhiveryDirectSurfaceAC</t>
        </is>
      </c>
      <c r="D8" s="3" t="inlineStr">
        <is>
          <t>SURFACE</t>
        </is>
      </c>
      <c r="E8" s="3" t="n">
        <v>0.5</v>
      </c>
      <c r="F8" s="3" t="inlineStr">
        <is>
          <t>A</t>
        </is>
      </c>
      <c r="G8" s="3" t="inlineStr">
        <is>
          <t>Delivered</t>
        </is>
      </c>
      <c r="H8" s="3" t="inlineStr">
        <is>
          <t>COD</t>
        </is>
      </c>
      <c r="I8" s="3" t="n"/>
      <c r="J8" s="3" t="n">
        <v>20</v>
      </c>
      <c r="K8" s="3" t="n">
        <v>0</v>
      </c>
      <c r="L8" s="3" t="n">
        <v>0</v>
      </c>
      <c r="M8" s="3" t="n">
        <v>15</v>
      </c>
      <c r="N8" s="3" t="n">
        <v>35</v>
      </c>
      <c r="O8" s="3" t="n">
        <v>41.3</v>
      </c>
      <c r="P8" s="3" t="inlineStr">
        <is>
          <t>MID0007</t>
        </is>
      </c>
      <c r="Q8" s="3" t="inlineStr">
        <is>
          <t>ORD-TEST-0007</t>
        </is>
      </c>
      <c r="R8" s="3" t="n">
        <v>799</v>
      </c>
      <c r="S8" s="3" t="inlineStr">
        <is>
          <t>TEST-SKU</t>
        </is>
      </c>
      <c r="T8" s="3" t="n">
        <v>1</v>
      </c>
      <c r="U8" s="3" t="inlineStr">
        <is>
          <t>1</t>
        </is>
      </c>
    </row>
    <row r="9">
      <c r="A9" s="2" t="inlineStr">
        <is>
          <t>88800000000008</t>
        </is>
      </c>
      <c r="B9" s="3" t="inlineStr">
        <is>
          <t>Pokonut</t>
        </is>
      </c>
      <c r="C9" s="3" t="inlineStr">
        <is>
          <t>DelhiveryDirectSurfaceAC</t>
        </is>
      </c>
      <c r="D9" s="3" t="inlineStr">
        <is>
          <t>SURFACE</t>
        </is>
      </c>
      <c r="E9" s="3" t="n">
        <v>0.5</v>
      </c>
      <c r="F9" s="3" t="inlineStr">
        <is>
          <t>A</t>
        </is>
      </c>
      <c r="G9" s="3" t="inlineStr">
        <is>
          <t>RTO</t>
        </is>
      </c>
      <c r="H9" s="3" t="inlineStr">
        <is>
          <t>PREPAID</t>
        </is>
      </c>
      <c r="I9" s="3" t="n">
        <v>0</v>
      </c>
      <c r="J9" s="3" t="n">
        <v>20</v>
      </c>
      <c r="K9" s="3" t="n">
        <v>18</v>
      </c>
      <c r="L9" s="3" t="n">
        <v>0</v>
      </c>
      <c r="M9" s="3" t="n">
        <v>0</v>
      </c>
      <c r="N9" s="3" t="n">
        <v>38</v>
      </c>
      <c r="O9" s="3" t="n">
        <v>44.84</v>
      </c>
      <c r="P9" s="3" t="inlineStr">
        <is>
          <t>MID0008</t>
        </is>
      </c>
      <c r="Q9" s="3" t="inlineStr">
        <is>
          <t>ORD-TEST-0008</t>
        </is>
      </c>
      <c r="R9" s="3" t="n">
        <v>799</v>
      </c>
      <c r="S9" s="3" t="inlineStr">
        <is>
          <t>TEST-SKU</t>
        </is>
      </c>
      <c r="T9" s="3" t="n">
        <v>1</v>
      </c>
      <c r="U9" s="3" t="inlineStr">
        <is>
          <t>1</t>
        </is>
      </c>
    </row>
    <row r="10">
      <c r="A10" s="2" t="inlineStr">
        <is>
          <t>88800000000009</t>
        </is>
      </c>
      <c r="B10" s="3" t="inlineStr">
        <is>
          <t>Pokonut</t>
        </is>
      </c>
      <c r="C10" s="3" t="inlineStr">
        <is>
          <t>DelhiveryDirectSurfaceAC</t>
        </is>
      </c>
      <c r="D10" s="3" t="inlineStr">
        <is>
          <t>SURFACE</t>
        </is>
      </c>
      <c r="E10" s="3" t="n">
        <v>0.5</v>
      </c>
      <c r="F10" s="3" t="inlineStr">
        <is>
          <t>B</t>
        </is>
      </c>
      <c r="G10" s="3" t="inlineStr">
        <is>
          <t>RTO</t>
        </is>
      </c>
      <c r="H10" s="3" t="inlineStr">
        <is>
          <t>PREPAID</t>
        </is>
      </c>
      <c r="I10" s="3" t="n">
        <v>0</v>
      </c>
      <c r="J10" s="3" t="n">
        <v>22</v>
      </c>
      <c r="K10" s="3" t="n">
        <v>20</v>
      </c>
      <c r="L10" s="3" t="n">
        <v>0</v>
      </c>
      <c r="M10" s="3" t="n">
        <v>0</v>
      </c>
      <c r="N10" s="3" t="n">
        <v>42</v>
      </c>
      <c r="O10" s="3" t="n">
        <v>49.56</v>
      </c>
      <c r="P10" s="3" t="inlineStr">
        <is>
          <t>MID0009</t>
        </is>
      </c>
      <c r="Q10" s="3" t="inlineStr">
        <is>
          <t>ORD-TEST-0009</t>
        </is>
      </c>
      <c r="R10" s="3" t="n">
        <v>799</v>
      </c>
      <c r="S10" s="3" t="inlineStr">
        <is>
          <t>TEST-SKU</t>
        </is>
      </c>
      <c r="T10" s="3" t="n">
        <v>1</v>
      </c>
      <c r="U10" s="3" t="inlineStr">
        <is>
          <t>1</t>
        </is>
      </c>
    </row>
    <row r="11">
      <c r="A11" s="2" t="inlineStr">
        <is>
          <t>88800000000010</t>
        </is>
      </c>
      <c r="B11" s="3" t="inlineStr">
        <is>
          <t>Pokonut</t>
        </is>
      </c>
      <c r="C11" s="3" t="inlineStr">
        <is>
          <t>DelhiveryDirectSurfaceAC</t>
        </is>
      </c>
      <c r="D11" s="3" t="inlineStr">
        <is>
          <t>SURFACE</t>
        </is>
      </c>
      <c r="E11" s="3" t="n">
        <v>0.5</v>
      </c>
      <c r="F11" s="3" t="inlineStr">
        <is>
          <t>D</t>
        </is>
      </c>
      <c r="G11" s="3" t="inlineStr">
        <is>
          <t>RTO</t>
        </is>
      </c>
      <c r="H11" s="3" t="inlineStr">
        <is>
          <t>COD</t>
        </is>
      </c>
      <c r="I11" s="3" t="n">
        <v>800</v>
      </c>
      <c r="J11" s="3" t="n">
        <v>33</v>
      </c>
      <c r="K11" s="3" t="n">
        <v>31</v>
      </c>
      <c r="L11" s="3" t="n">
        <v>0</v>
      </c>
      <c r="M11" s="3" t="n">
        <v>0</v>
      </c>
      <c r="N11" s="3" t="n">
        <v>64</v>
      </c>
      <c r="O11" s="3" t="n">
        <v>75.52</v>
      </c>
      <c r="P11" s="3" t="inlineStr">
        <is>
          <t>MID0010</t>
        </is>
      </c>
      <c r="Q11" s="3" t="inlineStr">
        <is>
          <t>ORD-TEST-0010</t>
        </is>
      </c>
      <c r="R11" s="3" t="n">
        <v>799</v>
      </c>
      <c r="S11" s="3" t="inlineStr">
        <is>
          <t>TEST-SKU</t>
        </is>
      </c>
      <c r="T11" s="3" t="n">
        <v>1</v>
      </c>
      <c r="U11" s="3" t="inlineStr">
        <is>
          <t>1</t>
        </is>
      </c>
    </row>
    <row r="12">
      <c r="A12" s="2" t="inlineStr">
        <is>
          <t>88800000000011</t>
        </is>
      </c>
      <c r="B12" s="3" t="inlineStr">
        <is>
          <t>Pokonut</t>
        </is>
      </c>
      <c r="C12" s="3" t="inlineStr">
        <is>
          <t>DelhiveryDirectExpress</t>
        </is>
      </c>
      <c r="D12" s="3" t="inlineStr">
        <is>
          <t>AIR</t>
        </is>
      </c>
      <c r="E12" s="3" t="n">
        <v>0.5</v>
      </c>
      <c r="F12" s="3" t="inlineStr">
        <is>
          <t>B</t>
        </is>
      </c>
      <c r="G12" s="3" t="inlineStr">
        <is>
          <t>Delivered</t>
        </is>
      </c>
      <c r="H12" s="3" t="inlineStr">
        <is>
          <t>COD</t>
        </is>
      </c>
      <c r="I12" s="3" t="n">
        <v>1000</v>
      </c>
      <c r="J12" s="3" t="n">
        <v>29</v>
      </c>
      <c r="K12" s="3" t="n">
        <v>0</v>
      </c>
      <c r="L12" s="3" t="n">
        <v>0</v>
      </c>
      <c r="M12" s="3" t="n">
        <v>28</v>
      </c>
      <c r="N12" s="3" t="n">
        <v>57</v>
      </c>
      <c r="O12" s="3" t="n">
        <v>67.26000000000001</v>
      </c>
      <c r="P12" s="3" t="inlineStr">
        <is>
          <t>MID0011</t>
        </is>
      </c>
      <c r="Q12" s="3" t="inlineStr">
        <is>
          <t>ORD-TEST-0011</t>
        </is>
      </c>
      <c r="R12" s="3" t="n">
        <v>799</v>
      </c>
      <c r="S12" s="3" t="inlineStr">
        <is>
          <t>TEST-SKU</t>
        </is>
      </c>
      <c r="T12" s="3" t="n">
        <v>1</v>
      </c>
      <c r="U12" s="3" t="inlineStr">
        <is>
          <t>1</t>
        </is>
      </c>
    </row>
    <row r="13">
      <c r="A13" s="2" t="inlineStr">
        <is>
          <t>88800000000012</t>
        </is>
      </c>
      <c r="B13" s="3" t="inlineStr">
        <is>
          <t>Pokonut</t>
        </is>
      </c>
      <c r="C13" s="3" t="inlineStr">
        <is>
          <t>DelhiveryDirectExpress</t>
        </is>
      </c>
      <c r="D13" s="3" t="inlineStr">
        <is>
          <t>AIR</t>
        </is>
      </c>
      <c r="E13" s="3" t="n">
        <v>0.5</v>
      </c>
      <c r="F13" s="3" t="inlineStr">
        <is>
          <t>C</t>
        </is>
      </c>
      <c r="G13" s="3" t="inlineStr">
        <is>
          <t>Delivered</t>
        </is>
      </c>
      <c r="H13" s="3" t="inlineStr">
        <is>
          <t>COD</t>
        </is>
      </c>
      <c r="I13" s="3" t="n">
        <v>3000</v>
      </c>
      <c r="J13" s="3" t="n">
        <v>41</v>
      </c>
      <c r="K13" s="3" t="n">
        <v>0</v>
      </c>
      <c r="L13" s="3" t="n">
        <v>0</v>
      </c>
      <c r="M13" s="3" t="n">
        <v>45</v>
      </c>
      <c r="N13" s="3" t="n">
        <v>86</v>
      </c>
      <c r="O13" s="3" t="n">
        <v>101.48</v>
      </c>
      <c r="P13" s="3" t="inlineStr">
        <is>
          <t>MID0012</t>
        </is>
      </c>
      <c r="Q13" s="3" t="inlineStr">
        <is>
          <t>ORD-TEST-0012</t>
        </is>
      </c>
      <c r="R13" s="3" t="n">
        <v>799</v>
      </c>
      <c r="S13" s="3" t="inlineStr">
        <is>
          <t>TEST-SKU</t>
        </is>
      </c>
      <c r="T13" s="3" t="n">
        <v>1</v>
      </c>
      <c r="U13" s="3" t="inlineStr">
        <is>
          <t>1</t>
        </is>
      </c>
    </row>
    <row r="14">
      <c r="A14" s="2" t="inlineStr">
        <is>
          <t>88800000000013</t>
        </is>
      </c>
      <c r="B14" s="3" t="inlineStr">
        <is>
          <t>Pokonut</t>
        </is>
      </c>
      <c r="C14" s="3" t="inlineStr">
        <is>
          <t>ShadowfaxNDD-NG</t>
        </is>
      </c>
      <c r="D14" s="3" t="inlineStr">
        <is>
          <t>NDD</t>
        </is>
      </c>
      <c r="E14" s="3" t="n">
        <v>0.5</v>
      </c>
      <c r="F14" s="3" t="inlineStr">
        <is>
          <t>A</t>
        </is>
      </c>
      <c r="G14" s="3" t="inlineStr">
        <is>
          <t>Delivered</t>
        </is>
      </c>
      <c r="H14" s="3" t="inlineStr">
        <is>
          <t>PREPAID</t>
        </is>
      </c>
      <c r="I14" s="3" t="n">
        <v>0</v>
      </c>
      <c r="J14" s="3" t="n">
        <v>27</v>
      </c>
      <c r="K14" s="3" t="n">
        <v>0</v>
      </c>
      <c r="L14" s="3" t="n">
        <v>0</v>
      </c>
      <c r="M14" s="3" t="n">
        <v>0</v>
      </c>
      <c r="N14" s="3" t="n">
        <v>27</v>
      </c>
      <c r="O14" s="3" t="n">
        <v>31.86</v>
      </c>
      <c r="P14" s="3" t="inlineStr">
        <is>
          <t>MID0013</t>
        </is>
      </c>
      <c r="Q14" s="3" t="inlineStr">
        <is>
          <t>ORD-TEST-0013</t>
        </is>
      </c>
      <c r="R14" s="3" t="n">
        <v>799</v>
      </c>
      <c r="S14" s="3" t="inlineStr">
        <is>
          <t>TEST-SKU</t>
        </is>
      </c>
      <c r="T14" s="3" t="n">
        <v>1</v>
      </c>
      <c r="U14" s="3" t="inlineStr">
        <is>
          <t>1</t>
        </is>
      </c>
    </row>
    <row r="15">
      <c r="A15" s="2" t="inlineStr">
        <is>
          <t>88800000000014</t>
        </is>
      </c>
      <c r="B15" s="3" t="inlineStr">
        <is>
          <t>Pokonut</t>
        </is>
      </c>
      <c r="C15" s="3" t="inlineStr">
        <is>
          <t>ShadowfaxNDD-NG</t>
        </is>
      </c>
      <c r="D15" s="3" t="inlineStr">
        <is>
          <t>NDD</t>
        </is>
      </c>
      <c r="E15" s="3" t="n">
        <v>0.5</v>
      </c>
      <c r="F15" s="3" t="inlineStr">
        <is>
          <t>E</t>
        </is>
      </c>
      <c r="G15" s="3" t="inlineStr">
        <is>
          <t>Delivered</t>
        </is>
      </c>
      <c r="H15" s="3" t="inlineStr">
        <is>
          <t>PREPAID</t>
        </is>
      </c>
      <c r="I15" s="3" t="n">
        <v>0</v>
      </c>
      <c r="J15" s="3" t="n">
        <v>0</v>
      </c>
      <c r="K15" s="3" t="n">
        <v>0</v>
      </c>
      <c r="L15" s="3" t="n">
        <v>0</v>
      </c>
      <c r="M15" s="3" t="n">
        <v>0</v>
      </c>
      <c r="N15" s="3" t="n">
        <v>0</v>
      </c>
      <c r="O15" s="3" t="n">
        <v>0</v>
      </c>
      <c r="P15" s="3" t="inlineStr">
        <is>
          <t>MID0014</t>
        </is>
      </c>
      <c r="Q15" s="3" t="inlineStr">
        <is>
          <t>ORD-TEST-0014</t>
        </is>
      </c>
      <c r="R15" s="3" t="n">
        <v>799</v>
      </c>
      <c r="S15" s="3" t="inlineStr">
        <is>
          <t>TEST-SKU</t>
        </is>
      </c>
      <c r="T15" s="3" t="n">
        <v>1</v>
      </c>
      <c r="U15" s="3" t="inlineStr">
        <is>
          <t>1</t>
        </is>
      </c>
    </row>
    <row r="16">
      <c r="A16" s="2" t="inlineStr">
        <is>
          <t>88800000000015</t>
        </is>
      </c>
      <c r="B16" s="3" t="inlineStr">
        <is>
          <t>Pokonut</t>
        </is>
      </c>
      <c r="C16" s="3" t="inlineStr">
        <is>
          <t>DelhiveryDirectSurfaceAC</t>
        </is>
      </c>
      <c r="D16" s="3" t="inlineStr">
        <is>
          <t>SURFACE</t>
        </is>
      </c>
      <c r="E16" s="3" t="n">
        <v>0.5</v>
      </c>
      <c r="F16" s="3" t="inlineStr">
        <is>
          <t>B</t>
        </is>
      </c>
      <c r="G16" s="3" t="inlineStr">
        <is>
          <t>Delivered</t>
        </is>
      </c>
      <c r="H16" s="3" t="inlineStr">
        <is>
          <t>PREPAID</t>
        </is>
      </c>
      <c r="I16" s="3" t="n">
        <v>0</v>
      </c>
      <c r="J16" s="3" t="n">
        <v>22</v>
      </c>
      <c r="K16" s="3" t="n">
        <v>0</v>
      </c>
      <c r="L16" s="3" t="n">
        <v>0</v>
      </c>
      <c r="M16" s="3" t="n">
        <v>0</v>
      </c>
      <c r="N16" s="3" t="n">
        <v>22</v>
      </c>
      <c r="O16" s="3" t="n">
        <v>25.96</v>
      </c>
      <c r="P16" s="3" t="inlineStr">
        <is>
          <t>MID0015</t>
        </is>
      </c>
      <c r="Q16" s="3" t="inlineStr">
        <is>
          <t>ORD-TEST-0015</t>
        </is>
      </c>
      <c r="R16" s="3" t="n">
        <v>799</v>
      </c>
      <c r="S16" s="3" t="inlineStr">
        <is>
          <t>TEST-SKU</t>
        </is>
      </c>
      <c r="T16" s="3" t="n">
        <v>1</v>
      </c>
      <c r="U16" s="3" t="inlineStr">
        <is>
          <t>1</t>
        </is>
      </c>
    </row>
    <row r="17">
      <c r="A17" s="2" t="inlineStr">
        <is>
          <t>88800000000016</t>
        </is>
      </c>
      <c r="B17" s="3" t="inlineStr">
        <is>
          <t>Pokonut</t>
        </is>
      </c>
      <c r="C17" s="3" t="inlineStr">
        <is>
          <t>DelhiveryDirectSurfaceAC</t>
        </is>
      </c>
      <c r="D17" s="3" t="inlineStr">
        <is>
          <t>SURFACE</t>
        </is>
      </c>
      <c r="E17" s="3" t="n">
        <v>0.5</v>
      </c>
      <c r="F17" s="3" t="inlineStr">
        <is>
          <t>D</t>
        </is>
      </c>
      <c r="G17" s="3" t="inlineStr">
        <is>
          <t>Delivered</t>
        </is>
      </c>
      <c r="H17" s="3" t="inlineStr">
        <is>
          <t>COD</t>
        </is>
      </c>
      <c r="I17" s="3" t="n">
        <v>1200</v>
      </c>
      <c r="J17" s="3" t="n">
        <v>33</v>
      </c>
      <c r="K17" s="3" t="n">
        <v>0</v>
      </c>
      <c r="L17" s="3" t="n">
        <v>0</v>
      </c>
      <c r="M17" s="3" t="n">
        <v>15</v>
      </c>
      <c r="N17" s="3" t="n">
        <v>48</v>
      </c>
      <c r="O17" s="3" t="n">
        <v>56.64</v>
      </c>
      <c r="P17" s="3" t="inlineStr">
        <is>
          <t>MID0016</t>
        </is>
      </c>
      <c r="Q17" s="3" t="inlineStr">
        <is>
          <t>ORD-TEST-0016</t>
        </is>
      </c>
      <c r="R17" s="3" t="n">
        <v>799</v>
      </c>
      <c r="S17" s="3" t="inlineStr">
        <is>
          <t>TEST-SKU</t>
        </is>
      </c>
      <c r="T17" s="3" t="n">
        <v>1</v>
      </c>
      <c r="U17" s="3" t="inlineStr">
        <is>
          <t>1</t>
        </is>
      </c>
    </row>
    <row r="18">
      <c r="A18" s="2" t="inlineStr">
        <is>
          <t>88800000000017</t>
        </is>
      </c>
      <c r="B18" s="3" t="inlineStr">
        <is>
          <t>Pokonut</t>
        </is>
      </c>
      <c r="C18" s="3" t="inlineStr">
        <is>
          <t>BlueDart Surface</t>
        </is>
      </c>
      <c r="D18" s="3" t="inlineStr">
        <is>
          <t>SURFACE</t>
        </is>
      </c>
      <c r="E18" s="3" t="n">
        <v>0.5</v>
      </c>
      <c r="F18" s="3" t="inlineStr">
        <is>
          <t>A</t>
        </is>
      </c>
      <c r="G18" s="3" t="inlineStr">
        <is>
          <t>Delivered</t>
        </is>
      </c>
      <c r="H18" s="3" t="inlineStr">
        <is>
          <t>PREPAID</t>
        </is>
      </c>
      <c r="I18" s="3" t="n">
        <v>0</v>
      </c>
      <c r="J18" s="3" t="n">
        <v>24</v>
      </c>
      <c r="K18" s="3" t="n">
        <v>0</v>
      </c>
      <c r="L18" s="3" t="n">
        <v>0</v>
      </c>
      <c r="M18" s="3" t="n">
        <v>0</v>
      </c>
      <c r="N18" s="3" t="n">
        <v>24</v>
      </c>
      <c r="O18" s="3" t="n">
        <v>28.32</v>
      </c>
      <c r="P18" s="3" t="inlineStr">
        <is>
          <t>MID0017</t>
        </is>
      </c>
      <c r="Q18" s="3" t="inlineStr">
        <is>
          <t>ORD-TEST-0017</t>
        </is>
      </c>
      <c r="R18" s="3" t="n">
        <v>799</v>
      </c>
      <c r="S18" s="3" t="inlineStr">
        <is>
          <t>TEST-SKU</t>
        </is>
      </c>
      <c r="T18" s="3" t="n">
        <v>1</v>
      </c>
      <c r="U18" s="3" t="inlineStr">
        <is>
          <t>1</t>
        </is>
      </c>
    </row>
    <row r="19">
      <c r="A19" s="2" t="inlineStr">
        <is>
          <t>88800000000018</t>
        </is>
      </c>
      <c r="B19" s="3" t="inlineStr">
        <is>
          <t>Pokonut</t>
        </is>
      </c>
      <c r="C19" s="3" t="inlineStr">
        <is>
          <t>BlueDart Surface</t>
        </is>
      </c>
      <c r="D19" s="3" t="inlineStr">
        <is>
          <t>SURFACE</t>
        </is>
      </c>
      <c r="E19" s="3" t="n">
        <v>0.5</v>
      </c>
      <c r="F19" s="3" t="inlineStr">
        <is>
          <t>C</t>
        </is>
      </c>
      <c r="G19" s="3" t="inlineStr">
        <is>
          <t>RTO</t>
        </is>
      </c>
      <c r="H19" s="3" t="inlineStr">
        <is>
          <t>PREPAID</t>
        </is>
      </c>
      <c r="I19" s="3" t="n">
        <v>0</v>
      </c>
      <c r="J19" s="3" t="n">
        <v>34</v>
      </c>
      <c r="K19" s="3" t="n">
        <v>32</v>
      </c>
      <c r="L19" s="3" t="n">
        <v>0</v>
      </c>
      <c r="M19" s="3" t="n">
        <v>0</v>
      </c>
      <c r="N19" s="3" t="n">
        <v>66</v>
      </c>
      <c r="O19" s="3" t="n">
        <v>77.88</v>
      </c>
      <c r="P19" s="3" t="inlineStr">
        <is>
          <t>MID0018</t>
        </is>
      </c>
      <c r="Q19" s="3" t="inlineStr">
        <is>
          <t>ORD-TEST-0018</t>
        </is>
      </c>
      <c r="R19" s="3" t="n">
        <v>799</v>
      </c>
      <c r="S19" s="3" t="inlineStr">
        <is>
          <t>TEST-SKU</t>
        </is>
      </c>
      <c r="T19" s="3" t="n">
        <v>1</v>
      </c>
      <c r="U19" s="3" t="inlineStr">
        <is>
          <t>1</t>
        </is>
      </c>
    </row>
    <row r="20">
      <c r="A20" s="2" t="inlineStr">
        <is>
          <t>88800000000019</t>
        </is>
      </c>
      <c r="B20" s="3" t="inlineStr">
        <is>
          <t>Pokonut</t>
        </is>
      </c>
      <c r="C20" s="3" t="inlineStr">
        <is>
          <t>DelhiveryDirectSurfaceAC</t>
        </is>
      </c>
      <c r="D20" s="3" t="inlineStr">
        <is>
          <t>SURFACE</t>
        </is>
      </c>
      <c r="E20" s="3" t="n">
        <v>10</v>
      </c>
      <c r="F20" s="3" t="inlineStr">
        <is>
          <t>B</t>
        </is>
      </c>
      <c r="G20" s="3" t="inlineStr">
        <is>
          <t>Delivered</t>
        </is>
      </c>
      <c r="H20" s="3" t="inlineStr">
        <is>
          <t>PREPAID</t>
        </is>
      </c>
      <c r="I20" s="3" t="n">
        <v>0</v>
      </c>
      <c r="J20" s="3" t="n">
        <v>440</v>
      </c>
      <c r="K20" s="3" t="n">
        <v>0</v>
      </c>
      <c r="L20" s="3" t="n">
        <v>0</v>
      </c>
      <c r="M20" s="3" t="n">
        <v>0</v>
      </c>
      <c r="N20" s="3" t="n">
        <v>440</v>
      </c>
      <c r="O20" s="3" t="n">
        <v>519.2</v>
      </c>
      <c r="P20" s="3" t="inlineStr">
        <is>
          <t>MID0019</t>
        </is>
      </c>
      <c r="Q20" s="3" t="inlineStr">
        <is>
          <t>ORD-TEST-0019</t>
        </is>
      </c>
      <c r="R20" s="3" t="n">
        <v>799</v>
      </c>
      <c r="S20" s="3" t="inlineStr">
        <is>
          <t>TEST-SKU</t>
        </is>
      </c>
      <c r="T20" s="3" t="n">
        <v>1</v>
      </c>
      <c r="U20" s="3" t="inlineStr">
        <is>
          <t>1</t>
        </is>
      </c>
    </row>
    <row r="21">
      <c r="A21" s="2" t="inlineStr">
        <is>
          <t>88800000000020</t>
        </is>
      </c>
      <c r="B21" s="3" t="inlineStr">
        <is>
          <t>Pokonut</t>
        </is>
      </c>
      <c r="C21" s="3" t="inlineStr">
        <is>
          <t>DelhiveryDirectSurfaceAC</t>
        </is>
      </c>
      <c r="D21" s="3" t="inlineStr">
        <is>
          <t>SURFACE</t>
        </is>
      </c>
      <c r="E21" s="3" t="n">
        <v>0.5</v>
      </c>
      <c r="F21" s="3" t="inlineStr">
        <is>
          <t>A</t>
        </is>
      </c>
      <c r="G21" s="3" t="inlineStr">
        <is>
          <t>Delivered</t>
        </is>
      </c>
      <c r="H21" s="3" t="inlineStr">
        <is>
          <t>PREPAID</t>
        </is>
      </c>
      <c r="I21" s="3" t="n">
        <v>0</v>
      </c>
      <c r="J21" s="3" t="n">
        <v>20</v>
      </c>
      <c r="K21" s="3" t="n">
        <v>0</v>
      </c>
      <c r="L21" s="3" t="n">
        <v>0</v>
      </c>
      <c r="M21" s="3" t="n">
        <v>0</v>
      </c>
      <c r="N21" s="3" t="n">
        <v>20</v>
      </c>
      <c r="O21" s="3" t="n">
        <v>23.6</v>
      </c>
      <c r="P21" s="3" t="inlineStr">
        <is>
          <t>MID0020</t>
        </is>
      </c>
      <c r="Q21" s="3" t="inlineStr">
        <is>
          <t>ORD-TEST-0020</t>
        </is>
      </c>
      <c r="R21" s="3" t="n">
        <v>799</v>
      </c>
      <c r="S21" s="3" t="inlineStr">
        <is>
          <t>TEST-SKU</t>
        </is>
      </c>
      <c r="T21" s="3" t="n">
        <v>1</v>
      </c>
      <c r="U21" s="3" t="inlineStr">
        <is>
          <t>1</t>
        </is>
      </c>
    </row>
    <row r="22">
      <c r="A22" s="2" t="inlineStr">
        <is>
          <t>88800000000021</t>
        </is>
      </c>
      <c r="B22" s="3" t="inlineStr">
        <is>
          <t>Pokonut</t>
        </is>
      </c>
      <c r="C22" s="3" t="inlineStr">
        <is>
          <t>DelhiveryDirectSurfaceAC</t>
        </is>
      </c>
      <c r="D22" s="3" t="inlineStr">
        <is>
          <t>SURFACE</t>
        </is>
      </c>
      <c r="E22" s="3" t="n">
        <v>0.5</v>
      </c>
      <c r="F22" s="3" t="inlineStr">
        <is>
          <t>B</t>
        </is>
      </c>
      <c r="G22" s="3" t="inlineStr">
        <is>
          <t>Delivered</t>
        </is>
      </c>
      <c r="H22" s="3" t="inlineStr">
        <is>
          <t>PREPAID</t>
        </is>
      </c>
      <c r="I22" s="3" t="n">
        <v>0</v>
      </c>
      <c r="J22" s="3" t="n">
        <v>22</v>
      </c>
      <c r="K22" s="3" t="n">
        <v>0</v>
      </c>
      <c r="L22" s="3" t="n">
        <v>0</v>
      </c>
      <c r="M22" s="3" t="n">
        <v>0</v>
      </c>
      <c r="N22" s="3" t="n">
        <v>22</v>
      </c>
      <c r="O22" s="3" t="n">
        <v>25.96</v>
      </c>
      <c r="P22" s="3" t="inlineStr">
        <is>
          <t>MID0021</t>
        </is>
      </c>
      <c r="Q22" s="3" t="inlineStr">
        <is>
          <t>ORD-TEST-0021</t>
        </is>
      </c>
      <c r="R22" s="3" t="n">
        <v>799</v>
      </c>
      <c r="S22" s="3" t="inlineStr">
        <is>
          <t>TEST-SKU</t>
        </is>
      </c>
      <c r="T22" s="3" t="n">
        <v>1</v>
      </c>
      <c r="U22" s="3" t="inlineStr">
        <is>
          <t>1</t>
        </is>
      </c>
    </row>
    <row r="23">
      <c r="A23" s="2" t="inlineStr">
        <is>
          <t>88800000000022</t>
        </is>
      </c>
      <c r="B23" s="3" t="inlineStr">
        <is>
          <t>Pokonut</t>
        </is>
      </c>
      <c r="C23" s="3" t="inlineStr">
        <is>
          <t>DelhiveryDirectSurfaceAC</t>
        </is>
      </c>
      <c r="D23" s="3" t="inlineStr">
        <is>
          <t>SURFACE</t>
        </is>
      </c>
      <c r="E23" s="3" t="n">
        <v>0.5</v>
      </c>
      <c r="F23" s="3" t="inlineStr">
        <is>
          <t>A</t>
        </is>
      </c>
      <c r="G23" s="3" t="inlineStr">
        <is>
          <t>Delivered</t>
        </is>
      </c>
      <c r="H23" s="3" t="inlineStr">
        <is>
          <t>PREPAID</t>
        </is>
      </c>
      <c r="I23" s="3" t="n">
        <v>0</v>
      </c>
      <c r="J23" s="3" t="n">
        <v>20</v>
      </c>
      <c r="K23" s="3" t="n">
        <v>0</v>
      </c>
      <c r="L23" s="3" t="n">
        <v>0</v>
      </c>
      <c r="M23" s="3" t="n">
        <v>0</v>
      </c>
      <c r="N23" s="3" t="n">
        <v>20</v>
      </c>
      <c r="O23" s="3" t="n">
        <v>23.6</v>
      </c>
      <c r="P23" s="3" t="inlineStr">
        <is>
          <t>MID0022</t>
        </is>
      </c>
      <c r="Q23" s="3" t="inlineStr">
        <is>
          <t>ORD-TEST-0022</t>
        </is>
      </c>
      <c r="R23" s="3" t="n">
        <v>799</v>
      </c>
      <c r="S23" s="3" t="inlineStr">
        <is>
          <t>TEST-SKU</t>
        </is>
      </c>
      <c r="T23" s="3" t="n">
        <v>1</v>
      </c>
      <c r="U23" s="3" t="inlineStr">
        <is>
          <t>1</t>
        </is>
      </c>
    </row>
    <row r="24">
      <c r="A24" s="2" t="inlineStr">
        <is>
          <t>88800000000023</t>
        </is>
      </c>
      <c r="B24" s="3" t="inlineStr">
        <is>
          <t>Pokonut</t>
        </is>
      </c>
      <c r="C24" s="3" t="inlineStr">
        <is>
          <t>DelhiveryDirectSurfaceAC</t>
        </is>
      </c>
      <c r="D24" s="3" t="inlineStr">
        <is>
          <t>SURFACE</t>
        </is>
      </c>
      <c r="E24" s="3" t="n">
        <v>0.5</v>
      </c>
      <c r="F24" s="3" t="inlineStr">
        <is>
          <t>A</t>
        </is>
      </c>
      <c r="G24" s="3" t="inlineStr">
        <is>
          <t>Delivered</t>
        </is>
      </c>
      <c r="H24" s="3" t="inlineStr">
        <is>
          <t>PREPAID</t>
        </is>
      </c>
      <c r="I24" s="3" t="n">
        <v>0</v>
      </c>
      <c r="J24" s="3" t="n">
        <v>20</v>
      </c>
      <c r="K24" s="3" t="n">
        <v>0</v>
      </c>
      <c r="L24" s="3" t="n">
        <v>0</v>
      </c>
      <c r="M24" s="3" t="n">
        <v>0</v>
      </c>
      <c r="N24" s="3" t="n">
        <v>20</v>
      </c>
      <c r="O24" s="3" t="n">
        <v>24.4</v>
      </c>
      <c r="P24" s="3" t="inlineStr">
        <is>
          <t>MID0023</t>
        </is>
      </c>
      <c r="Q24" s="3" t="inlineStr">
        <is>
          <t>ORD-TEST-0023</t>
        </is>
      </c>
      <c r="R24" s="3" t="n">
        <v>799</v>
      </c>
      <c r="S24" s="3" t="inlineStr">
        <is>
          <t>TEST-SKU</t>
        </is>
      </c>
      <c r="T24" s="3" t="n">
        <v>1</v>
      </c>
      <c r="U24" s="3" t="inlineStr">
        <is>
          <t>1</t>
        </is>
      </c>
    </row>
    <row r="25">
      <c r="A25" s="2" t="inlineStr">
        <is>
          <t>88800000000024</t>
        </is>
      </c>
      <c r="B25" s="3" t="inlineStr">
        <is>
          <t>Pokonut</t>
        </is>
      </c>
      <c r="C25" s="3" t="inlineStr">
        <is>
          <t>DelhiveryDirectSurfaceAC</t>
        </is>
      </c>
      <c r="D25" s="3" t="inlineStr">
        <is>
          <t>SURFACE</t>
        </is>
      </c>
      <c r="E25" s="3" t="n">
        <v>0.5</v>
      </c>
      <c r="F25" s="3" t="inlineStr">
        <is>
          <t>B</t>
        </is>
      </c>
      <c r="G25" s="3" t="inlineStr">
        <is>
          <t>Delivered</t>
        </is>
      </c>
      <c r="H25" s="3" t="inlineStr">
        <is>
          <t>PREPAID</t>
        </is>
      </c>
      <c r="I25" s="3" t="n">
        <v>0</v>
      </c>
      <c r="J25" s="3" t="n">
        <v>22</v>
      </c>
      <c r="K25" s="3" t="n">
        <v>0</v>
      </c>
      <c r="L25" s="3" t="n">
        <v>0</v>
      </c>
      <c r="M25" s="3" t="n">
        <v>0</v>
      </c>
      <c r="N25" s="3" t="n">
        <v>22</v>
      </c>
      <c r="O25" s="3" t="n">
        <v>26.96</v>
      </c>
      <c r="P25" s="3" t="inlineStr">
        <is>
          <t>MID0024</t>
        </is>
      </c>
      <c r="Q25" s="3" t="inlineStr">
        <is>
          <t>ORD-TEST-0024</t>
        </is>
      </c>
      <c r="R25" s="3" t="n">
        <v>799</v>
      </c>
      <c r="S25" s="3" t="inlineStr">
        <is>
          <t>TEST-SKU</t>
        </is>
      </c>
      <c r="T25" s="3" t="n">
        <v>1</v>
      </c>
      <c r="U25" s="3" t="inlineStr">
        <is>
          <t>1</t>
        </is>
      </c>
    </row>
    <row r="26">
      <c r="A26" s="2" t="inlineStr">
        <is>
          <t>88800000000025</t>
        </is>
      </c>
      <c r="B26" s="3" t="inlineStr">
        <is>
          <t>Pokonut</t>
        </is>
      </c>
      <c r="C26" s="3" t="inlineStr">
        <is>
          <t>DelhiveryDirectSurfaceAC</t>
        </is>
      </c>
      <c r="D26" s="3" t="inlineStr">
        <is>
          <t>SURFACE</t>
        </is>
      </c>
      <c r="E26" s="3" t="n">
        <v>0.5</v>
      </c>
      <c r="F26" s="3" t="inlineStr">
        <is>
          <t>c</t>
        </is>
      </c>
      <c r="G26" s="3" t="inlineStr">
        <is>
          <t>Delivered</t>
        </is>
      </c>
      <c r="H26" s="3" t="inlineStr">
        <is>
          <t>PREPAID</t>
        </is>
      </c>
      <c r="I26" s="3" t="n">
        <v>0</v>
      </c>
      <c r="J26" s="3" t="n">
        <v>29</v>
      </c>
      <c r="K26" s="3" t="n">
        <v>0</v>
      </c>
      <c r="L26" s="3" t="n">
        <v>0</v>
      </c>
      <c r="M26" s="3" t="n">
        <v>0</v>
      </c>
      <c r="N26" s="3" t="n">
        <v>29</v>
      </c>
      <c r="O26" s="3" t="n">
        <v>34.22</v>
      </c>
      <c r="P26" s="3" t="inlineStr">
        <is>
          <t>MID0025</t>
        </is>
      </c>
      <c r="Q26" s="3" t="inlineStr">
        <is>
          <t>ORD-TEST-0025</t>
        </is>
      </c>
      <c r="R26" s="3" t="n">
        <v>799</v>
      </c>
      <c r="S26" s="3" t="inlineStr">
        <is>
          <t>TEST-SKU</t>
        </is>
      </c>
      <c r="T26" s="3" t="n">
        <v>1</v>
      </c>
      <c r="U26" s="3" t="inlineStr">
        <is>
          <t>1</t>
        </is>
      </c>
    </row>
    <row r="27">
      <c r="A27" s="2" t="inlineStr">
        <is>
          <t>88800000000026</t>
        </is>
      </c>
      <c r="B27" s="3" t="inlineStr">
        <is>
          <t>Pokonut</t>
        </is>
      </c>
      <c r="C27" s="3" t="inlineStr">
        <is>
          <t>DelhiveryDirectSurfaceAC</t>
        </is>
      </c>
      <c r="D27" s="3" t="inlineStr">
        <is>
          <t>SURFACE</t>
        </is>
      </c>
      <c r="E27" s="3" t="n">
        <v>0.5</v>
      </c>
      <c r="F27" s="3" t="inlineStr">
        <is>
          <t>A</t>
        </is>
      </c>
      <c r="G27" s="3" t="inlineStr">
        <is>
          <t>Delivered</t>
        </is>
      </c>
      <c r="H27" s="3" t="inlineStr">
        <is>
          <t>cod</t>
        </is>
      </c>
      <c r="I27" s="3" t="n">
        <v>600</v>
      </c>
      <c r="J27" s="3" t="n">
        <v>20</v>
      </c>
      <c r="K27" s="3" t="n">
        <v>0</v>
      </c>
      <c r="L27" s="3" t="n">
        <v>0</v>
      </c>
      <c r="M27" s="3" t="n">
        <v>15</v>
      </c>
      <c r="N27" s="3" t="n">
        <v>35</v>
      </c>
      <c r="O27" s="3" t="n">
        <v>41.3</v>
      </c>
      <c r="P27" s="3" t="inlineStr">
        <is>
          <t>MID0026</t>
        </is>
      </c>
      <c r="Q27" s="3" t="inlineStr">
        <is>
          <t>ORD-TEST-0026</t>
        </is>
      </c>
      <c r="R27" s="3" t="n">
        <v>799</v>
      </c>
      <c r="S27" s="3" t="inlineStr">
        <is>
          <t>TEST-SKU</t>
        </is>
      </c>
      <c r="T27" s="3" t="n">
        <v>1</v>
      </c>
      <c r="U27" s="3" t="inlineStr">
        <is>
          <t>1</t>
        </is>
      </c>
    </row>
    <row r="28">
      <c r="A28" s="2" t="inlineStr">
        <is>
          <t>88800000000027</t>
        </is>
      </c>
      <c r="B28" s="3" t="inlineStr">
        <is>
          <t>Pokonut</t>
        </is>
      </c>
      <c r="C28" s="3" t="inlineStr">
        <is>
          <t>DelhiveryDirectSurfaceAC</t>
        </is>
      </c>
      <c r="D28" s="3" t="inlineStr">
        <is>
          <t>SURFACE</t>
        </is>
      </c>
      <c r="E28" s="3" t="n">
        <v>0.5</v>
      </c>
      <c r="F28" s="3" t="inlineStr">
        <is>
          <t>A</t>
        </is>
      </c>
      <c r="G28" s="3" t="inlineStr">
        <is>
          <t>Delivered</t>
        </is>
      </c>
      <c r="H28" s="3" t="inlineStr">
        <is>
          <t>PREPAID</t>
        </is>
      </c>
      <c r="I28" s="3" t="n">
        <v>0</v>
      </c>
      <c r="J28" s="3" t="n">
        <v>20</v>
      </c>
      <c r="K28" s="3" t="n">
        <v>0</v>
      </c>
      <c r="L28" s="3" t="n">
        <v>0</v>
      </c>
      <c r="M28" s="3" t="n">
        <v>0</v>
      </c>
      <c r="N28" s="3" t="n">
        <v>20</v>
      </c>
      <c r="O28" s="3" t="n">
        <v>23.6</v>
      </c>
      <c r="P28" s="3" t="inlineStr">
        <is>
          <t>MID0027</t>
        </is>
      </c>
      <c r="Q28" s="3" t="inlineStr">
        <is>
          <t>ORD-TEST-0027</t>
        </is>
      </c>
      <c r="R28" s="3" t="n">
        <v>799</v>
      </c>
      <c r="S28" s="3" t="inlineStr">
        <is>
          <t>TEST-SKU</t>
        </is>
      </c>
      <c r="T28" s="3" t="n">
        <v>1</v>
      </c>
      <c r="U28" s="3" t="inlineStr">
        <is>
          <t>1</t>
        </is>
      </c>
    </row>
    <row r="29">
      <c r="A29" s="4" t="n">
        <v>88800000000028</v>
      </c>
      <c r="B29" s="3" t="inlineStr">
        <is>
          <t>Pokonut</t>
        </is>
      </c>
      <c r="C29" s="3" t="inlineStr">
        <is>
          <t>DelhiveryDirectSurfaceAC</t>
        </is>
      </c>
      <c r="D29" s="3" t="inlineStr">
        <is>
          <t>SURFACE</t>
        </is>
      </c>
      <c r="E29" s="3" t="n">
        <v>0.5</v>
      </c>
      <c r="F29" s="3" t="inlineStr">
        <is>
          <t>B</t>
        </is>
      </c>
      <c r="G29" s="3" t="inlineStr">
        <is>
          <t>Delivered</t>
        </is>
      </c>
      <c r="H29" s="3" t="inlineStr">
        <is>
          <t>PREPAID</t>
        </is>
      </c>
      <c r="I29" s="3" t="n">
        <v>0</v>
      </c>
      <c r="J29" s="3" t="n">
        <v>22</v>
      </c>
      <c r="K29" s="3" t="n">
        <v>0</v>
      </c>
      <c r="L29" s="3" t="n">
        <v>0</v>
      </c>
      <c r="M29" s="3" t="n">
        <v>0</v>
      </c>
      <c r="N29" s="3" t="n">
        <v>22</v>
      </c>
      <c r="O29" s="3" t="n">
        <v>25.96</v>
      </c>
      <c r="P29" s="3" t="inlineStr">
        <is>
          <t>MID0028</t>
        </is>
      </c>
      <c r="Q29" s="3" t="inlineStr">
        <is>
          <t>ORD-TEST-0028</t>
        </is>
      </c>
      <c r="R29" s="3" t="n">
        <v>799</v>
      </c>
      <c r="S29" s="3" t="inlineStr">
        <is>
          <t>TEST-SKU</t>
        </is>
      </c>
      <c r="T29" s="3" t="n">
        <v>1</v>
      </c>
      <c r="U29" s="3" t="inlineStr">
        <is>
          <t>1</t>
        </is>
      </c>
    </row>
    <row r="30">
      <c r="A30" s="2" t="inlineStr">
        <is>
          <t xml:space="preserve"> 88800000000029 </t>
        </is>
      </c>
      <c r="B30" s="3" t="inlineStr">
        <is>
          <t>Pokonut</t>
        </is>
      </c>
      <c r="C30" s="3" t="inlineStr">
        <is>
          <t>DelhiveryDirectSurfaceAC</t>
        </is>
      </c>
      <c r="D30" s="3" t="inlineStr">
        <is>
          <t>SURFACE</t>
        </is>
      </c>
      <c r="E30" s="3" t="n">
        <v>0.5</v>
      </c>
      <c r="F30" s="3" t="inlineStr">
        <is>
          <t>C</t>
        </is>
      </c>
      <c r="G30" s="3" t="inlineStr">
        <is>
          <t>Delivered</t>
        </is>
      </c>
      <c r="H30" s="3" t="inlineStr">
        <is>
          <t>PREPAID</t>
        </is>
      </c>
      <c r="I30" s="3" t="n">
        <v>0</v>
      </c>
      <c r="J30" s="3" t="n">
        <v>29</v>
      </c>
      <c r="K30" s="3" t="n">
        <v>0</v>
      </c>
      <c r="L30" s="3" t="n">
        <v>0</v>
      </c>
      <c r="M30" s="3" t="n">
        <v>0</v>
      </c>
      <c r="N30" s="3" t="n">
        <v>29</v>
      </c>
      <c r="O30" s="3" t="n">
        <v>34.22</v>
      </c>
      <c r="P30" s="3" t="inlineStr">
        <is>
          <t>MID0029</t>
        </is>
      </c>
      <c r="Q30" s="3" t="inlineStr">
        <is>
          <t>ORD-TEST-0029</t>
        </is>
      </c>
      <c r="R30" s="3" t="n">
        <v>799</v>
      </c>
      <c r="S30" s="3" t="inlineStr">
        <is>
          <t>TEST-SKU</t>
        </is>
      </c>
      <c r="T30" s="3" t="n">
        <v>1</v>
      </c>
      <c r="U30" s="3" t="inlineStr">
        <is>
          <t>1</t>
        </is>
      </c>
    </row>
    <row r="31">
      <c r="A31" s="2" t="inlineStr">
        <is>
          <t>88800000000030</t>
        </is>
      </c>
      <c r="B31" s="3" t="inlineStr">
        <is>
          <t>Pokonut</t>
        </is>
      </c>
      <c r="C31" s="3" t="inlineStr">
        <is>
          <t>DelhiveryDirectSurfaceAC</t>
        </is>
      </c>
      <c r="D31" s="3" t="inlineStr">
        <is>
          <t>SURFACE</t>
        </is>
      </c>
      <c r="E31" s="3" t="n">
        <v>0.5</v>
      </c>
      <c r="F31" s="3" t="inlineStr">
        <is>
          <t>A</t>
        </is>
      </c>
      <c r="G31" s="3" t="inlineStr">
        <is>
          <t>Cancelled</t>
        </is>
      </c>
      <c r="H31" s="3" t="inlineStr">
        <is>
          <t>PREPAID</t>
        </is>
      </c>
      <c r="I31" s="3" t="n">
        <v>0</v>
      </c>
      <c r="J31" s="3" t="n">
        <v>20</v>
      </c>
      <c r="K31" s="3" t="n">
        <v>0</v>
      </c>
      <c r="L31" s="3" t="n">
        <v>0</v>
      </c>
      <c r="M31" s="3" t="n">
        <v>0</v>
      </c>
      <c r="N31" s="3" t="n">
        <v>20</v>
      </c>
      <c r="O31" s="3" t="n">
        <v>23.6</v>
      </c>
      <c r="P31" s="3" t="inlineStr">
        <is>
          <t>MID0030</t>
        </is>
      </c>
      <c r="Q31" s="3" t="inlineStr">
        <is>
          <t>ORD-TEST-0030</t>
        </is>
      </c>
      <c r="R31" s="3" t="n">
        <v>799</v>
      </c>
      <c r="S31" s="3" t="inlineStr">
        <is>
          <t>TEST-SKU</t>
        </is>
      </c>
      <c r="T31" s="3" t="n">
        <v>1</v>
      </c>
      <c r="U31" s="3" t="inlineStr">
        <is>
          <t>1</t>
        </is>
      </c>
    </row>
    <row r="32">
      <c r="A32" s="2" t="inlineStr">
        <is>
          <t>88800000000031</t>
        </is>
      </c>
      <c r="B32" s="3" t="inlineStr">
        <is>
          <t>Pokonut</t>
        </is>
      </c>
      <c r="C32" s="3" t="inlineStr">
        <is>
          <t>DelhiveryDirectSurfaceAC</t>
        </is>
      </c>
      <c r="D32" s="3" t="inlineStr">
        <is>
          <t>SURFACE</t>
        </is>
      </c>
      <c r="E32" s="3" t="n">
        <v>0.5</v>
      </c>
      <c r="F32" s="3" t="inlineStr">
        <is>
          <t>A</t>
        </is>
      </c>
      <c r="G32" s="3" t="inlineStr">
        <is>
          <t>Delivered</t>
        </is>
      </c>
      <c r="H32" s="3" t="inlineStr">
        <is>
          <t>PREPAID</t>
        </is>
      </c>
      <c r="I32" s="3" t="n">
        <v>0</v>
      </c>
      <c r="J32" s="3" t="n">
        <v>20</v>
      </c>
      <c r="K32" s="3" t="n">
        <v>0</v>
      </c>
      <c r="L32" s="3" t="n">
        <v>0</v>
      </c>
      <c r="M32" s="3" t="n">
        <v>0</v>
      </c>
      <c r="N32" s="3" t="n">
        <v>20</v>
      </c>
      <c r="O32" s="3" t="n">
        <v>23.6</v>
      </c>
      <c r="P32" s="3" t="inlineStr">
        <is>
          <t>MID0031</t>
        </is>
      </c>
      <c r="Q32" s="3" t="inlineStr">
        <is>
          <t>ORD-TEST-0031</t>
        </is>
      </c>
      <c r="R32" s="3" t="n">
        <v>799</v>
      </c>
      <c r="S32" s="3" t="inlineStr">
        <is>
          <t>TEST-SKU</t>
        </is>
      </c>
      <c r="T32" s="3" t="n">
        <v>1</v>
      </c>
      <c r="U32" s="3" t="inlineStr">
        <is>
          <t>1</t>
        </is>
      </c>
    </row>
    <row r="33">
      <c r="A33" s="2" t="inlineStr">
        <is>
          <t>88800000000032</t>
        </is>
      </c>
      <c r="B33" s="3" t="inlineStr">
        <is>
          <t>Pokonut</t>
        </is>
      </c>
      <c r="C33" s="3" t="inlineStr">
        <is>
          <t>DelhiveryDirectSurfaceAC</t>
        </is>
      </c>
      <c r="D33" s="3" t="inlineStr">
        <is>
          <t>SURFACE</t>
        </is>
      </c>
      <c r="E33" s="3" t="n">
        <v>0.5</v>
      </c>
      <c r="F33" s="3" t="inlineStr">
        <is>
          <t>B</t>
        </is>
      </c>
      <c r="G33" s="3" t="inlineStr">
        <is>
          <t>Delivered</t>
        </is>
      </c>
      <c r="H33" s="3" t="inlineStr">
        <is>
          <t>PREPAID</t>
        </is>
      </c>
      <c r="I33" s="3" t="n">
        <v>0</v>
      </c>
      <c r="J33" s="3" t="n">
        <v>22</v>
      </c>
      <c r="K33" s="3" t="n">
        <v>0</v>
      </c>
      <c r="L33" s="3" t="n">
        <v>0</v>
      </c>
      <c r="M33" s="3" t="n">
        <v>0</v>
      </c>
      <c r="N33" s="3" t="n">
        <v>22</v>
      </c>
      <c r="O33" s="3" t="n">
        <v>35.96</v>
      </c>
      <c r="P33" s="3" t="inlineStr">
        <is>
          <t>MID0032</t>
        </is>
      </c>
      <c r="Q33" s="3" t="inlineStr">
        <is>
          <t>ORD-TEST-0032</t>
        </is>
      </c>
      <c r="R33" s="3" t="n">
        <v>799</v>
      </c>
      <c r="S33" s="3" t="inlineStr">
        <is>
          <t>TEST-SKU</t>
        </is>
      </c>
      <c r="T33" s="3" t="n">
        <v>1</v>
      </c>
      <c r="U33" s="3" t="inlineStr">
        <is>
          <t>1</t>
        </is>
      </c>
    </row>
    <row r="34">
      <c r="A34" s="2" t="inlineStr">
        <is>
          <t>88800000000033</t>
        </is>
      </c>
      <c r="B34" s="3" t="inlineStr">
        <is>
          <t>Pokonut</t>
        </is>
      </c>
      <c r="C34" s="3" t="inlineStr">
        <is>
          <t>DelhiveryDirectSurfaceAC</t>
        </is>
      </c>
      <c r="D34" s="3" t="inlineStr">
        <is>
          <t>SURFACE</t>
        </is>
      </c>
      <c r="E34" s="3" t="n">
        <v>0.5</v>
      </c>
      <c r="F34" s="3" t="inlineStr">
        <is>
          <t>D</t>
        </is>
      </c>
      <c r="G34" s="3" t="inlineStr">
        <is>
          <t>Delivered</t>
        </is>
      </c>
      <c r="H34" s="3" t="inlineStr">
        <is>
          <t>PREPAID</t>
        </is>
      </c>
      <c r="I34" s="3" t="n">
        <v>0</v>
      </c>
      <c r="J34" s="3" t="n">
        <v>33</v>
      </c>
      <c r="K34" s="3" t="n">
        <v>0</v>
      </c>
      <c r="L34" s="3" t="n">
        <v>0</v>
      </c>
      <c r="M34" s="3" t="n">
        <v>0</v>
      </c>
      <c r="N34" s="3" t="n">
        <v>33</v>
      </c>
      <c r="O34" s="3" t="n">
        <v>88.94</v>
      </c>
      <c r="P34" s="3" t="inlineStr">
        <is>
          <t>MID0033</t>
        </is>
      </c>
      <c r="Q34" s="3" t="inlineStr">
        <is>
          <t>ORD-TEST-0033</t>
        </is>
      </c>
      <c r="R34" s="3" t="n">
        <v>799</v>
      </c>
      <c r="S34" s="3" t="inlineStr">
        <is>
          <t>TEST-SKU</t>
        </is>
      </c>
      <c r="T34" s="3" t="n">
        <v>1</v>
      </c>
      <c r="U34" s="3" t="inlineStr">
        <is>
          <t>1</t>
        </is>
      </c>
    </row>
    <row r="35">
      <c r="A35" s="2" t="inlineStr">
        <is>
          <t>88800000000034</t>
        </is>
      </c>
      <c r="B35" s="3" t="inlineStr">
        <is>
          <t>Pokonut</t>
        </is>
      </c>
      <c r="C35" s="3" t="inlineStr">
        <is>
          <t>DelhiveryDirectSurfaceAC</t>
        </is>
      </c>
      <c r="D35" s="3" t="inlineStr">
        <is>
          <t>SURFACE</t>
        </is>
      </c>
      <c r="E35" s="3" t="n">
        <v>0.5</v>
      </c>
      <c r="F35" s="3" t="inlineStr">
        <is>
          <t>C</t>
        </is>
      </c>
      <c r="G35" s="3" t="inlineStr">
        <is>
          <t>Delivered</t>
        </is>
      </c>
      <c r="H35" s="3" t="inlineStr">
        <is>
          <t>PREPAID</t>
        </is>
      </c>
      <c r="I35" s="3" t="n">
        <v>0</v>
      </c>
      <c r="J35" s="3" t="n">
        <v>29</v>
      </c>
      <c r="K35" s="3" t="n">
        <v>0</v>
      </c>
      <c r="L35" s="3" t="n">
        <v>0</v>
      </c>
      <c r="M35" s="3" t="n">
        <v>0</v>
      </c>
      <c r="N35" s="3" t="n">
        <v>29</v>
      </c>
      <c r="O35" s="3" t="n">
        <v>24.22</v>
      </c>
      <c r="P35" s="3" t="inlineStr">
        <is>
          <t>MID0034</t>
        </is>
      </c>
      <c r="Q35" s="3" t="inlineStr">
        <is>
          <t>ORD-TEST-0034</t>
        </is>
      </c>
      <c r="R35" s="3" t="n">
        <v>799</v>
      </c>
      <c r="S35" s="3" t="inlineStr">
        <is>
          <t>TEST-SKU</t>
        </is>
      </c>
      <c r="T35" s="3" t="n">
        <v>1</v>
      </c>
      <c r="U35" s="3" t="inlineStr">
        <is>
          <t>1</t>
        </is>
      </c>
    </row>
    <row r="36">
      <c r="A36" s="2" t="inlineStr">
        <is>
          <t>88800000000035</t>
        </is>
      </c>
      <c r="B36" s="3" t="inlineStr">
        <is>
          <t>Pokonut</t>
        </is>
      </c>
      <c r="C36" s="3" t="inlineStr">
        <is>
          <t>DelhiveryDirectSurfaceAC</t>
        </is>
      </c>
      <c r="D36" s="3" t="inlineStr">
        <is>
          <t>SURFACE</t>
        </is>
      </c>
      <c r="E36" s="3" t="n">
        <v>0.5</v>
      </c>
      <c r="F36" s="3" t="inlineStr">
        <is>
          <t>A</t>
        </is>
      </c>
      <c r="G36" s="3" t="inlineStr">
        <is>
          <t>Delivered</t>
        </is>
      </c>
      <c r="H36" s="3" t="inlineStr">
        <is>
          <t>PREPAID</t>
        </is>
      </c>
      <c r="I36" s="3" t="n">
        <v>0</v>
      </c>
      <c r="J36" s="3" t="n">
        <v>20</v>
      </c>
      <c r="K36" s="3" t="n">
        <v>0</v>
      </c>
      <c r="L36" s="3" t="n">
        <v>0</v>
      </c>
      <c r="M36" s="3" t="n">
        <v>0</v>
      </c>
      <c r="N36" s="3" t="n">
        <v>20</v>
      </c>
      <c r="O36" s="3" t="n">
        <v>24.61</v>
      </c>
      <c r="P36" s="3" t="inlineStr">
        <is>
          <t>MID0035</t>
        </is>
      </c>
      <c r="Q36" s="3" t="inlineStr">
        <is>
          <t>ORD-TEST-0035</t>
        </is>
      </c>
      <c r="R36" s="3" t="n">
        <v>799</v>
      </c>
      <c r="S36" s="3" t="inlineStr">
        <is>
          <t>TEST-SKU</t>
        </is>
      </c>
      <c r="T36" s="3" t="n">
        <v>1</v>
      </c>
      <c r="U36" s="3" t="inlineStr">
        <is>
          <t>1</t>
        </is>
      </c>
    </row>
    <row r="37">
      <c r="A37" s="2" t="inlineStr">
        <is>
          <t>88800000000036</t>
        </is>
      </c>
      <c r="B37" s="3" t="inlineStr">
        <is>
          <t>Pokonut</t>
        </is>
      </c>
      <c r="C37" s="3" t="inlineStr">
        <is>
          <t>DelhiveryDirectSurfaceAC</t>
        </is>
      </c>
      <c r="D37" s="3" t="inlineStr">
        <is>
          <t>SURFACE</t>
        </is>
      </c>
      <c r="E37" s="3" t="n">
        <v>0.5</v>
      </c>
      <c r="F37" s="3" t="inlineStr">
        <is>
          <t>A</t>
        </is>
      </c>
      <c r="G37" s="3" t="inlineStr">
        <is>
          <t>Delivered</t>
        </is>
      </c>
      <c r="H37" s="3" t="inlineStr">
        <is>
          <t>PREPAID</t>
        </is>
      </c>
      <c r="I37" s="3" t="n">
        <v>0</v>
      </c>
      <c r="J37" s="3" t="n">
        <v>20</v>
      </c>
      <c r="K37" s="3" t="n">
        <v>0</v>
      </c>
      <c r="L37" s="3" t="n">
        <v>0</v>
      </c>
      <c r="M37" s="3" t="n">
        <v>0</v>
      </c>
      <c r="N37" s="3" t="n">
        <v>20</v>
      </c>
      <c r="O37" s="3" t="n"/>
      <c r="P37" s="3" t="inlineStr">
        <is>
          <t>MID0036</t>
        </is>
      </c>
      <c r="Q37" s="3" t="inlineStr">
        <is>
          <t>ORD-TEST-0036</t>
        </is>
      </c>
      <c r="R37" s="3" t="n">
        <v>799</v>
      </c>
      <c r="S37" s="3" t="inlineStr">
        <is>
          <t>TEST-SKU</t>
        </is>
      </c>
      <c r="T37" s="3" t="n">
        <v>1</v>
      </c>
      <c r="U37" s="3" t="inlineStr">
        <is>
          <t>1</t>
        </is>
      </c>
    </row>
    <row r="38">
      <c r="A38" s="2" t="inlineStr">
        <is>
          <t>88800000000037</t>
        </is>
      </c>
      <c r="B38" s="3" t="inlineStr">
        <is>
          <t>Pokonut</t>
        </is>
      </c>
      <c r="C38" s="3" t="inlineStr">
        <is>
          <t>DelhiveryDirectSurfaceAC</t>
        </is>
      </c>
      <c r="D38" s="3" t="inlineStr">
        <is>
          <t>SURFACE</t>
        </is>
      </c>
      <c r="E38" s="3" t="n">
        <v>0.5</v>
      </c>
      <c r="F38" s="3" t="inlineStr">
        <is>
          <t>B</t>
        </is>
      </c>
      <c r="G38" s="3" t="inlineStr">
        <is>
          <t>Delivered</t>
        </is>
      </c>
      <c r="H38" s="3" t="inlineStr">
        <is>
          <t>COD</t>
        </is>
      </c>
      <c r="I38" s="3" t="n">
        <v>1000</v>
      </c>
      <c r="J38" s="3" t="n">
        <v>22</v>
      </c>
      <c r="K38" s="3" t="n">
        <v>0</v>
      </c>
      <c r="L38" s="3" t="n">
        <v>0</v>
      </c>
      <c r="M38" s="3" t="n">
        <v>0</v>
      </c>
      <c r="N38" s="3" t="n">
        <v>22</v>
      </c>
      <c r="O38" s="3" t="n">
        <v>25.96</v>
      </c>
      <c r="P38" s="3" t="inlineStr">
        <is>
          <t>MID0037</t>
        </is>
      </c>
      <c r="Q38" s="3" t="inlineStr">
        <is>
          <t>ORD-TEST-0037</t>
        </is>
      </c>
      <c r="R38" s="3" t="n">
        <v>799</v>
      </c>
      <c r="S38" s="3" t="inlineStr">
        <is>
          <t>TEST-SKU</t>
        </is>
      </c>
      <c r="T38" s="3" t="n">
        <v>1</v>
      </c>
      <c r="U38" s="3" t="inlineStr">
        <is>
          <t>1</t>
        </is>
      </c>
    </row>
    <row r="39">
      <c r="A39" s="2" t="inlineStr">
        <is>
          <t>88800000000038</t>
        </is>
      </c>
      <c r="B39" s="3" t="inlineStr">
        <is>
          <t>Pokonut</t>
        </is>
      </c>
      <c r="C39" s="3" t="inlineStr">
        <is>
          <t>DelhiveryDirectSurfaceAC</t>
        </is>
      </c>
      <c r="D39" s="3" t="inlineStr">
        <is>
          <t>SURFACE</t>
        </is>
      </c>
      <c r="E39" s="3" t="n">
        <v>0.5</v>
      </c>
      <c r="F39" s="3" t="inlineStr">
        <is>
          <t>C</t>
        </is>
      </c>
      <c r="G39" s="3" t="inlineStr">
        <is>
          <t>RTO</t>
        </is>
      </c>
      <c r="H39" s="3" t="inlineStr">
        <is>
          <t>COD</t>
        </is>
      </c>
      <c r="I39" s="3" t="n">
        <v>1000</v>
      </c>
      <c r="J39" s="3" t="n">
        <v>29</v>
      </c>
      <c r="K39" s="3" t="n">
        <v>27</v>
      </c>
      <c r="L39" s="3" t="n">
        <v>0</v>
      </c>
      <c r="M39" s="3" t="n">
        <v>15</v>
      </c>
      <c r="N39" s="3" t="n">
        <v>71</v>
      </c>
      <c r="O39" s="3" t="n">
        <v>83.78</v>
      </c>
      <c r="P39" s="3" t="inlineStr">
        <is>
          <t>MID0038</t>
        </is>
      </c>
      <c r="Q39" s="3" t="inlineStr">
        <is>
          <t>ORD-TEST-0038</t>
        </is>
      </c>
      <c r="R39" s="3" t="n">
        <v>799</v>
      </c>
      <c r="S39" s="3" t="inlineStr">
        <is>
          <t>TEST-SKU</t>
        </is>
      </c>
      <c r="T39" s="3" t="n">
        <v>1</v>
      </c>
      <c r="U39" s="3" t="inlineStr">
        <is>
          <t>1</t>
        </is>
      </c>
    </row>
    <row r="40">
      <c r="A40" s="2" t="inlineStr">
        <is>
          <t>88800000000039</t>
        </is>
      </c>
      <c r="B40" s="3" t="inlineStr">
        <is>
          <t>Pokonut</t>
        </is>
      </c>
      <c r="C40" s="3" t="inlineStr">
        <is>
          <t>DelhiveryDirectSurfaceAC</t>
        </is>
      </c>
      <c r="D40" s="3" t="inlineStr">
        <is>
          <t>SURFACE</t>
        </is>
      </c>
      <c r="E40" s="3" t="n">
        <v>0.5</v>
      </c>
      <c r="F40" s="3" t="inlineStr">
        <is>
          <t>D</t>
        </is>
      </c>
      <c r="G40" s="3" t="inlineStr">
        <is>
          <t>RTO</t>
        </is>
      </c>
      <c r="H40" s="3" t="inlineStr">
        <is>
          <t>PREPAID</t>
        </is>
      </c>
      <c r="I40" s="3" t="n">
        <v>0</v>
      </c>
      <c r="J40" s="3" t="n">
        <v>33</v>
      </c>
      <c r="K40" s="3" t="n">
        <v>0</v>
      </c>
      <c r="L40" s="3" t="n">
        <v>0</v>
      </c>
      <c r="M40" s="3" t="n">
        <v>0</v>
      </c>
      <c r="N40" s="3" t="n">
        <v>33</v>
      </c>
      <c r="O40" s="3" t="n">
        <v>38.94</v>
      </c>
      <c r="P40" s="3" t="inlineStr">
        <is>
          <t>MID0039</t>
        </is>
      </c>
      <c r="Q40" s="3" t="inlineStr">
        <is>
          <t>ORD-TEST-0039</t>
        </is>
      </c>
      <c r="R40" s="3" t="n">
        <v>799</v>
      </c>
      <c r="S40" s="3" t="inlineStr">
        <is>
          <t>TEST-SKU</t>
        </is>
      </c>
      <c r="T40" s="3" t="n">
        <v>1</v>
      </c>
      <c r="U40" s="3" t="inlineStr">
        <is>
          <t>1</t>
        </is>
      </c>
    </row>
    <row r="41">
      <c r="A41" s="2" t="inlineStr">
        <is>
          <t>88800000000040</t>
        </is>
      </c>
      <c r="B41" s="3" t="inlineStr">
        <is>
          <t>Pokonut</t>
        </is>
      </c>
      <c r="C41" s="3" t="inlineStr">
        <is>
          <t>DelhiveryDirectSurfaceAC</t>
        </is>
      </c>
      <c r="D41" s="3" t="inlineStr">
        <is>
          <t>SURFACE</t>
        </is>
      </c>
      <c r="E41" s="3" t="n">
        <v>0.5</v>
      </c>
      <c r="F41" s="3" t="inlineStr">
        <is>
          <t>B</t>
        </is>
      </c>
      <c r="G41" s="3" t="inlineStr">
        <is>
          <t>Delivered</t>
        </is>
      </c>
      <c r="H41" s="3" t="inlineStr">
        <is>
          <t>PREPAID</t>
        </is>
      </c>
      <c r="I41" s="3" t="n">
        <v>0</v>
      </c>
      <c r="J41" s="3" t="n">
        <v>22</v>
      </c>
      <c r="K41" s="3" t="n">
        <v>0</v>
      </c>
      <c r="L41" s="3" t="n">
        <v>0</v>
      </c>
      <c r="M41" s="3" t="n">
        <v>0</v>
      </c>
      <c r="N41" s="3" t="n">
        <v>22</v>
      </c>
      <c r="O41" s="3" t="n">
        <v>22</v>
      </c>
      <c r="P41" s="3" t="inlineStr">
        <is>
          <t>MID0040</t>
        </is>
      </c>
      <c r="Q41" s="3" t="inlineStr">
        <is>
          <t>ORD-TEST-0040</t>
        </is>
      </c>
      <c r="R41" s="3" t="n">
        <v>799</v>
      </c>
      <c r="S41" s="3" t="inlineStr">
        <is>
          <t>TEST-SKU</t>
        </is>
      </c>
      <c r="T41" s="3" t="n">
        <v>1</v>
      </c>
      <c r="U41" s="3" t="inlineStr">
        <is>
          <t>1</t>
        </is>
      </c>
    </row>
    <row r="42">
      <c r="A42" s="2" t="inlineStr">
        <is>
          <t>88800000000041</t>
        </is>
      </c>
      <c r="B42" s="3" t="inlineStr">
        <is>
          <t>Pokonut</t>
        </is>
      </c>
      <c r="C42" s="3" t="inlineStr">
        <is>
          <t>DelhiveryDirectSurfaceAC</t>
        </is>
      </c>
      <c r="D42" s="3" t="inlineStr">
        <is>
          <t>SURFACE</t>
        </is>
      </c>
      <c r="E42" s="3" t="n">
        <v>0.5</v>
      </c>
      <c r="F42" s="3" t="inlineStr">
        <is>
          <t>A</t>
        </is>
      </c>
      <c r="G42" s="3" t="inlineStr">
        <is>
          <t>Delivered</t>
        </is>
      </c>
      <c r="H42" s="3" t="inlineStr">
        <is>
          <t>COD</t>
        </is>
      </c>
      <c r="I42" s="3" t="n">
        <v>500</v>
      </c>
      <c r="J42" s="3" t="n">
        <v>20</v>
      </c>
      <c r="K42" s="3" t="n">
        <v>0</v>
      </c>
      <c r="L42" s="3" t="n">
        <v>0</v>
      </c>
      <c r="M42" s="3" t="n">
        <v>15</v>
      </c>
      <c r="N42" s="3" t="n">
        <v>35</v>
      </c>
      <c r="O42" s="3" t="n">
        <v>41.3</v>
      </c>
      <c r="P42" s="3" t="inlineStr">
        <is>
          <t>MID0041</t>
        </is>
      </c>
      <c r="Q42" s="3" t="inlineStr">
        <is>
          <t>ORD-TEST-0041</t>
        </is>
      </c>
      <c r="R42" s="3" t="n">
        <v>799</v>
      </c>
      <c r="S42" s="3" t="inlineStr">
        <is>
          <t>TEST-SKU</t>
        </is>
      </c>
      <c r="T42" s="3" t="n">
        <v>1</v>
      </c>
      <c r="U42" s="3" t="inlineStr">
        <is>
          <t>1</t>
        </is>
      </c>
    </row>
    <row r="43">
      <c r="A43" s="2" t="inlineStr">
        <is>
          <t>88800000000042</t>
        </is>
      </c>
      <c r="B43" s="3" t="inlineStr">
        <is>
          <t>Pokonut</t>
        </is>
      </c>
      <c r="C43" s="3" t="inlineStr">
        <is>
          <t>DelhiveryDirectSurfaceAC</t>
        </is>
      </c>
      <c r="D43" s="3" t="inlineStr">
        <is>
          <t>SURFACE</t>
        </is>
      </c>
      <c r="E43" s="3" t="n">
        <v>0.5</v>
      </c>
      <c r="F43" s="3" t="inlineStr">
        <is>
          <t>B</t>
        </is>
      </c>
      <c r="G43" s="3" t="inlineStr">
        <is>
          <t>Delivered</t>
        </is>
      </c>
      <c r="H43" s="3" t="inlineStr">
        <is>
          <t>PREPAID</t>
        </is>
      </c>
      <c r="I43" s="3" t="n">
        <v>500</v>
      </c>
      <c r="J43" s="3" t="n">
        <v>22</v>
      </c>
      <c r="K43" s="3" t="n">
        <v>0</v>
      </c>
      <c r="L43" s="3" t="n">
        <v>0</v>
      </c>
      <c r="M43" s="3" t="n">
        <v>0</v>
      </c>
      <c r="N43" s="3" t="n">
        <v>22</v>
      </c>
      <c r="O43" s="3" t="n">
        <v>25.96</v>
      </c>
      <c r="P43" s="3" t="inlineStr">
        <is>
          <t>MID0042</t>
        </is>
      </c>
      <c r="Q43" s="3" t="inlineStr">
        <is>
          <t>ORD-TEST-0042</t>
        </is>
      </c>
      <c r="R43" s="3" t="n">
        <v>799</v>
      </c>
      <c r="S43" s="3" t="inlineStr">
        <is>
          <t>TEST-SKU</t>
        </is>
      </c>
      <c r="T43" s="3" t="n">
        <v>1</v>
      </c>
      <c r="U43" s="3" t="inlineStr">
        <is>
          <t>1</t>
        </is>
      </c>
    </row>
    <row r="44">
      <c r="A44" s="2" t="inlineStr">
        <is>
          <t>88800000000043</t>
        </is>
      </c>
      <c r="B44" s="3" t="inlineStr">
        <is>
          <t>Pokonut</t>
        </is>
      </c>
      <c r="C44" s="3" t="inlineStr">
        <is>
          <t>DelhiveryDirectSurfaceAC</t>
        </is>
      </c>
      <c r="D44" s="3" t="inlineStr">
        <is>
          <t>SURFACE</t>
        </is>
      </c>
      <c r="E44" s="3" t="n">
        <v>0.5</v>
      </c>
      <c r="F44" s="3" t="inlineStr">
        <is>
          <t>A</t>
        </is>
      </c>
      <c r="G44" s="3" t="inlineStr">
        <is>
          <t>Delivered</t>
        </is>
      </c>
      <c r="H44" s="3" t="inlineStr">
        <is>
          <t>PREPAID</t>
        </is>
      </c>
      <c r="I44" s="3" t="n">
        <v>0</v>
      </c>
      <c r="J44" s="3" t="n">
        <v>20</v>
      </c>
      <c r="K44" s="3" t="n">
        <v>0</v>
      </c>
      <c r="L44" s="3" t="n">
        <v>0</v>
      </c>
      <c r="M44" s="3" t="n">
        <v>0</v>
      </c>
      <c r="N44" s="3" t="n">
        <v>20</v>
      </c>
      <c r="O44" s="3" t="n">
        <v>23.6</v>
      </c>
      <c r="P44" s="3" t="inlineStr">
        <is>
          <t>MID0043</t>
        </is>
      </c>
      <c r="Q44" s="3" t="inlineStr">
        <is>
          <t>ORD-TEST-0043</t>
        </is>
      </c>
      <c r="R44" s="3" t="n">
        <v>799</v>
      </c>
      <c r="S44" s="3" t="inlineStr">
        <is>
          <t>TEST-SKU</t>
        </is>
      </c>
      <c r="T44" s="3" t="n">
        <v>1</v>
      </c>
      <c r="U44" s="3" t="inlineStr">
        <is>
          <t>1</t>
        </is>
      </c>
    </row>
    <row r="45">
      <c r="A45" s="2" t="inlineStr">
        <is>
          <t>88800000000044</t>
        </is>
      </c>
      <c r="B45" s="3" t="inlineStr">
        <is>
          <t>Pokonut</t>
        </is>
      </c>
      <c r="C45" s="3" t="inlineStr">
        <is>
          <t>DelhiveryDirectSurfaceAC</t>
        </is>
      </c>
      <c r="D45" s="3" t="inlineStr">
        <is>
          <t>SURFACE</t>
        </is>
      </c>
      <c r="E45" s="3" t="n">
        <v>0.5</v>
      </c>
      <c r="F45" s="3" t="inlineStr">
        <is>
          <t>B</t>
        </is>
      </c>
      <c r="G45" s="3" t="inlineStr">
        <is>
          <t>RTO</t>
        </is>
      </c>
      <c r="H45" s="3" t="inlineStr">
        <is>
          <t>PREPAID</t>
        </is>
      </c>
      <c r="I45" s="3" t="n">
        <v>0</v>
      </c>
      <c r="J45" s="3" t="n">
        <v>22</v>
      </c>
      <c r="K45" s="3" t="n">
        <v>0</v>
      </c>
      <c r="L45" s="3" t="n">
        <v>0</v>
      </c>
      <c r="M45" s="3" t="n">
        <v>0</v>
      </c>
      <c r="N45" s="3" t="n">
        <v>22</v>
      </c>
      <c r="O45" s="3" t="n">
        <v>25.96</v>
      </c>
      <c r="P45" s="3" t="inlineStr">
        <is>
          <t>MID0044</t>
        </is>
      </c>
      <c r="Q45" s="3" t="inlineStr">
        <is>
          <t>ORD-TEST-0044</t>
        </is>
      </c>
      <c r="R45" s="3" t="n">
        <v>799</v>
      </c>
      <c r="S45" s="3" t="inlineStr">
        <is>
          <t>TEST-SKU</t>
        </is>
      </c>
      <c r="T45" s="3" t="n">
        <v>1</v>
      </c>
      <c r="U45" s="3" t="inlineStr">
        <is>
          <t>1</t>
        </is>
      </c>
    </row>
    <row r="46">
      <c r="A46" s="2" t="inlineStr">
        <is>
          <t>88800000000045</t>
        </is>
      </c>
      <c r="B46" s="3" t="inlineStr">
        <is>
          <t>Pokonut</t>
        </is>
      </c>
      <c r="C46" s="3" t="inlineStr">
        <is>
          <t>DelhiveryDirectSurfaceAC</t>
        </is>
      </c>
      <c r="D46" s="3" t="inlineStr">
        <is>
          <t>SURFACE</t>
        </is>
      </c>
      <c r="E46" s="3" t="n">
        <v>0.5</v>
      </c>
      <c r="F46" s="3" t="inlineStr">
        <is>
          <t>C</t>
        </is>
      </c>
      <c r="G46" s="3" t="inlineStr">
        <is>
          <t>Delivered</t>
        </is>
      </c>
      <c r="H46" s="3" t="inlineStr">
        <is>
          <t>PREPAID</t>
        </is>
      </c>
      <c r="I46" s="3" t="n">
        <v>0</v>
      </c>
      <c r="J46" s="3" t="n">
        <v>29</v>
      </c>
      <c r="K46" s="3" t="n">
        <v>27</v>
      </c>
      <c r="L46" s="3" t="n">
        <v>0</v>
      </c>
      <c r="M46" s="3" t="n">
        <v>0</v>
      </c>
      <c r="N46" s="3" t="n">
        <v>56</v>
      </c>
      <c r="O46" s="3" t="n">
        <v>66.08</v>
      </c>
      <c r="P46" s="3" t="inlineStr">
        <is>
          <t>MID0045</t>
        </is>
      </c>
      <c r="Q46" s="3" t="inlineStr">
        <is>
          <t>ORD-TEST-0045</t>
        </is>
      </c>
      <c r="R46" s="3" t="n">
        <v>799</v>
      </c>
      <c r="S46" s="3" t="inlineStr">
        <is>
          <t>TEST-SKU</t>
        </is>
      </c>
      <c r="T46" s="3" t="n">
        <v>1</v>
      </c>
      <c r="U46" s="3" t="inlineStr">
        <is>
          <t>1</t>
        </is>
      </c>
    </row>
    <row r="47">
      <c r="A47" s="2" t="inlineStr">
        <is>
          <t>88800000000046</t>
        </is>
      </c>
      <c r="B47" s="3" t="inlineStr">
        <is>
          <t>Pokonut</t>
        </is>
      </c>
      <c r="C47" s="3" t="inlineStr">
        <is>
          <t>DelhiveryDirectSurfaceAC</t>
        </is>
      </c>
      <c r="D47" s="3" t="inlineStr">
        <is>
          <t>SURFACE</t>
        </is>
      </c>
      <c r="E47" s="3" t="n">
        <v>0.5</v>
      </c>
      <c r="F47" s="3" t="inlineStr">
        <is>
          <t>A</t>
        </is>
      </c>
      <c r="G47" s="3" t="inlineStr">
        <is>
          <t>Delivered</t>
        </is>
      </c>
      <c r="H47" s="3" t="inlineStr">
        <is>
          <t>PREPAID</t>
        </is>
      </c>
      <c r="I47" s="3" t="n">
        <v>0</v>
      </c>
      <c r="J47" s="3" t="n">
        <v>29</v>
      </c>
      <c r="K47" s="3" t="n">
        <v>0</v>
      </c>
      <c r="L47" s="3" t="n">
        <v>0</v>
      </c>
      <c r="M47" s="3" t="n">
        <v>0</v>
      </c>
      <c r="N47" s="3" t="n">
        <v>29</v>
      </c>
      <c r="O47" s="3" t="n">
        <v>34.22</v>
      </c>
      <c r="P47" s="3" t="inlineStr">
        <is>
          <t>MID0046</t>
        </is>
      </c>
      <c r="Q47" s="3" t="inlineStr">
        <is>
          <t>ORD-TEST-0046</t>
        </is>
      </c>
      <c r="R47" s="3" t="n">
        <v>799</v>
      </c>
      <c r="S47" s="3" t="inlineStr">
        <is>
          <t>TEST-SKU</t>
        </is>
      </c>
      <c r="T47" s="3" t="n">
        <v>1</v>
      </c>
      <c r="U47" s="3" t="inlineStr">
        <is>
          <t>1</t>
        </is>
      </c>
    </row>
    <row r="48">
      <c r="A48" s="2" t="inlineStr">
        <is>
          <t>88800000000047</t>
        </is>
      </c>
      <c r="B48" s="3" t="inlineStr">
        <is>
          <t>Pokonut</t>
        </is>
      </c>
      <c r="C48" s="3" t="inlineStr">
        <is>
          <t>DelhiveryDirectSurfaceAC</t>
        </is>
      </c>
      <c r="D48" s="3" t="inlineStr">
        <is>
          <t>SURFACE</t>
        </is>
      </c>
      <c r="E48" s="3" t="n">
        <v>0.5</v>
      </c>
      <c r="F48" s="3" t="inlineStr">
        <is>
          <t>E</t>
        </is>
      </c>
      <c r="G48" s="3" t="inlineStr">
        <is>
          <t>Delivered</t>
        </is>
      </c>
      <c r="H48" s="3" t="inlineStr">
        <is>
          <t>PREPAID</t>
        </is>
      </c>
      <c r="I48" s="3" t="n">
        <v>0</v>
      </c>
      <c r="J48" s="3" t="n">
        <v>22</v>
      </c>
      <c r="K48" s="3" t="n">
        <v>0</v>
      </c>
      <c r="L48" s="3" t="n">
        <v>0</v>
      </c>
      <c r="M48" s="3" t="n">
        <v>0</v>
      </c>
      <c r="N48" s="3" t="n">
        <v>22</v>
      </c>
      <c r="O48" s="3" t="n">
        <v>25.96</v>
      </c>
      <c r="P48" s="3" t="inlineStr">
        <is>
          <t>MID0047</t>
        </is>
      </c>
      <c r="Q48" s="3" t="inlineStr">
        <is>
          <t>ORD-TEST-0047</t>
        </is>
      </c>
      <c r="R48" s="3" t="n">
        <v>799</v>
      </c>
      <c r="S48" s="3" t="inlineStr">
        <is>
          <t>TEST-SKU</t>
        </is>
      </c>
      <c r="T48" s="3" t="n">
        <v>1</v>
      </c>
      <c r="U48" s="3" t="inlineStr">
        <is>
          <t>1</t>
        </is>
      </c>
    </row>
    <row r="49">
      <c r="A49" s="2" t="inlineStr">
        <is>
          <t>88800000000048</t>
        </is>
      </c>
      <c r="B49" s="3" t="inlineStr">
        <is>
          <t>Pokonut</t>
        </is>
      </c>
      <c r="C49" s="3" t="inlineStr">
        <is>
          <t>DelhiveryDirectSurfaceAC</t>
        </is>
      </c>
      <c r="D49" s="3" t="inlineStr">
        <is>
          <t>SURFACE</t>
        </is>
      </c>
      <c r="E49" s="3" t="n">
        <v>0.5</v>
      </c>
      <c r="F49" s="3" t="inlineStr">
        <is>
          <t>A</t>
        </is>
      </c>
      <c r="G49" s="3" t="inlineStr">
        <is>
          <t>Delivered</t>
        </is>
      </c>
      <c r="H49" s="3" t="inlineStr">
        <is>
          <t>PREPAID</t>
        </is>
      </c>
      <c r="I49" s="3" t="n">
        <v>0</v>
      </c>
      <c r="J49" s="3" t="n">
        <v>20</v>
      </c>
      <c r="K49" s="3" t="n">
        <v>0</v>
      </c>
      <c r="L49" s="3" t="n">
        <v>0</v>
      </c>
      <c r="M49" s="3" t="n">
        <v>0</v>
      </c>
      <c r="N49" s="3" t="n">
        <v>20</v>
      </c>
      <c r="O49" s="3" t="n">
        <v>23.6</v>
      </c>
      <c r="P49" s="3" t="inlineStr">
        <is>
          <t>MID0048</t>
        </is>
      </c>
      <c r="Q49" s="3" t="inlineStr">
        <is>
          <t>ORD-TEST-0048</t>
        </is>
      </c>
      <c r="R49" s="3" t="n">
        <v>799</v>
      </c>
      <c r="S49" s="3" t="inlineStr">
        <is>
          <t>TEST-SKU</t>
        </is>
      </c>
      <c r="T49" s="3" t="n">
        <v>1</v>
      </c>
      <c r="U49" s="3" t="inlineStr">
        <is>
          <t>1</t>
        </is>
      </c>
    </row>
    <row r="50">
      <c r="A50" s="2" t="inlineStr">
        <is>
          <t>88800000000049</t>
        </is>
      </c>
      <c r="B50" s="3" t="inlineStr">
        <is>
          <t>Pokonut</t>
        </is>
      </c>
      <c r="C50" s="3" t="inlineStr">
        <is>
          <t>DelhiveryDirectSurfaceAC</t>
        </is>
      </c>
      <c r="D50" s="3" t="inlineStr">
        <is>
          <t>SURFACE</t>
        </is>
      </c>
      <c r="E50" s="3" t="n">
        <v>0.5</v>
      </c>
      <c r="F50" s="3" t="inlineStr">
        <is>
          <t>B</t>
        </is>
      </c>
      <c r="G50" s="3" t="inlineStr">
        <is>
          <t>Delivered</t>
        </is>
      </c>
      <c r="H50" s="3" t="inlineStr">
        <is>
          <t>PREPAID</t>
        </is>
      </c>
      <c r="I50" s="3" t="n">
        <v>0</v>
      </c>
      <c r="J50" s="3" t="n">
        <v>22</v>
      </c>
      <c r="K50" s="3" t="n">
        <v>0</v>
      </c>
      <c r="L50" s="3" t="n">
        <v>0</v>
      </c>
      <c r="M50" s="3" t="n">
        <v>0</v>
      </c>
      <c r="N50" s="3" t="n">
        <v>22</v>
      </c>
      <c r="O50" s="3" t="n">
        <v>25.96</v>
      </c>
      <c r="P50" s="3" t="inlineStr">
        <is>
          <t>MID0049</t>
        </is>
      </c>
      <c r="Q50" s="3" t="inlineStr">
        <is>
          <t>ORD-TEST-0049</t>
        </is>
      </c>
      <c r="R50" s="3" t="n">
        <v>799</v>
      </c>
      <c r="S50" s="3" t="inlineStr">
        <is>
          <t>TEST-SKU</t>
        </is>
      </c>
      <c r="T50" s="3" t="n">
        <v>1</v>
      </c>
      <c r="U50" s="3" t="inlineStr">
        <is>
          <t>1</t>
        </is>
      </c>
    </row>
    <row r="51">
      <c r="A51" s="2" t="inlineStr">
        <is>
          <t>88800000000050</t>
        </is>
      </c>
      <c r="B51" s="3" t="inlineStr">
        <is>
          <t>Pokonut</t>
        </is>
      </c>
      <c r="C51" s="3" t="inlineStr">
        <is>
          <t>DelhiveryDirectSurfaceAC</t>
        </is>
      </c>
      <c r="D51" s="3" t="inlineStr">
        <is>
          <t>SURFACE</t>
        </is>
      </c>
      <c r="E51" s="3" t="n">
        <v>0.5</v>
      </c>
      <c r="F51" s="3" t="inlineStr">
        <is>
          <t>C</t>
        </is>
      </c>
      <c r="G51" s="3" t="inlineStr">
        <is>
          <t>Delivered</t>
        </is>
      </c>
      <c r="H51" s="3" t="inlineStr">
        <is>
          <t>PREPAID</t>
        </is>
      </c>
      <c r="I51" s="3" t="n">
        <v>0</v>
      </c>
      <c r="J51" s="3" t="n">
        <v>29</v>
      </c>
      <c r="K51" s="3" t="n">
        <v>0</v>
      </c>
      <c r="L51" s="3" t="n">
        <v>0</v>
      </c>
      <c r="M51" s="3" t="n">
        <v>0</v>
      </c>
      <c r="N51" s="3" t="n">
        <v>29</v>
      </c>
      <c r="O51" s="3" t="n">
        <v>34.22</v>
      </c>
      <c r="P51" s="3" t="inlineStr">
        <is>
          <t>MID0050</t>
        </is>
      </c>
      <c r="Q51" s="3" t="inlineStr">
        <is>
          <t>ORD-TEST-0050</t>
        </is>
      </c>
      <c r="R51" s="3" t="n">
        <v>799</v>
      </c>
      <c r="S51" s="3" t="inlineStr">
        <is>
          <t>TEST-SKU</t>
        </is>
      </c>
      <c r="T51" s="3" t="n">
        <v>1</v>
      </c>
      <c r="U51" s="3" t="inlineStr">
        <is>
          <t>1</t>
        </is>
      </c>
    </row>
    <row r="52">
      <c r="A52" s="2" t="inlineStr">
        <is>
          <t>88800000000051</t>
        </is>
      </c>
      <c r="B52" s="3" t="inlineStr">
        <is>
          <t>Pokonut</t>
        </is>
      </c>
      <c r="C52" s="3" t="inlineStr">
        <is>
          <t>DelhiveryDirectSurfaceAC</t>
        </is>
      </c>
      <c r="D52" s="3" t="inlineStr">
        <is>
          <t>SURFACE</t>
        </is>
      </c>
      <c r="E52" s="3" t="n">
        <v>1.5</v>
      </c>
      <c r="F52" s="3" t="inlineStr">
        <is>
          <t>D</t>
        </is>
      </c>
      <c r="G52" s="3" t="inlineStr">
        <is>
          <t>Delivered</t>
        </is>
      </c>
      <c r="H52" s="3" t="inlineStr">
        <is>
          <t>PREPAID</t>
        </is>
      </c>
      <c r="I52" s="3" t="n">
        <v>0</v>
      </c>
      <c r="J52" s="3" t="n">
        <v>99</v>
      </c>
      <c r="K52" s="3" t="n">
        <v>0</v>
      </c>
      <c r="L52" s="3" t="n">
        <v>0</v>
      </c>
      <c r="M52" s="3" t="n">
        <v>0</v>
      </c>
      <c r="N52" s="3" t="n">
        <v>99</v>
      </c>
      <c r="O52" s="3" t="n">
        <v>116.82</v>
      </c>
      <c r="P52" s="3" t="inlineStr">
        <is>
          <t>MID0051</t>
        </is>
      </c>
      <c r="Q52" s="3" t="inlineStr">
        <is>
          <t>ORD-TEST-0051</t>
        </is>
      </c>
      <c r="R52" s="3" t="n">
        <v>799</v>
      </c>
      <c r="S52" s="3" t="inlineStr">
        <is>
          <t>TEST-SKU</t>
        </is>
      </c>
      <c r="T52" s="3" t="n">
        <v>1</v>
      </c>
      <c r="U52" s="3" t="inlineStr">
        <is>
          <t>1</t>
        </is>
      </c>
    </row>
    <row r="53">
      <c r="A53" s="2" t="inlineStr">
        <is>
          <t>88800000000052</t>
        </is>
      </c>
      <c r="B53" s="3" t="inlineStr">
        <is>
          <t>Pokonut</t>
        </is>
      </c>
      <c r="C53" s="3" t="inlineStr">
        <is>
          <t>DelhiveryDirectSurfaceAC</t>
        </is>
      </c>
      <c r="D53" s="3" t="inlineStr">
        <is>
          <t>SURFACE</t>
        </is>
      </c>
      <c r="E53" s="3" t="n">
        <v>0.5</v>
      </c>
      <c r="F53" s="3" t="inlineStr">
        <is>
          <t>A</t>
        </is>
      </c>
      <c r="G53" s="3" t="inlineStr">
        <is>
          <t>Delivered</t>
        </is>
      </c>
      <c r="H53" s="3" t="inlineStr">
        <is>
          <t>COD</t>
        </is>
      </c>
      <c r="I53" s="3" t="n">
        <v>500</v>
      </c>
      <c r="J53" s="3" t="n">
        <v>29</v>
      </c>
      <c r="K53" s="3" t="n">
        <v>0</v>
      </c>
      <c r="L53" s="3" t="n">
        <v>0</v>
      </c>
      <c r="M53" s="3" t="n">
        <v>15</v>
      </c>
      <c r="N53" s="3" t="n">
        <v>44</v>
      </c>
      <c r="O53" s="3" t="n">
        <v>51.92</v>
      </c>
      <c r="P53" s="3" t="inlineStr">
        <is>
          <t>MID0052</t>
        </is>
      </c>
      <c r="Q53" s="3" t="inlineStr">
        <is>
          <t>ORD-TEST-0052</t>
        </is>
      </c>
      <c r="R53" s="3" t="n">
        <v>799</v>
      </c>
      <c r="S53" s="3" t="inlineStr">
        <is>
          <t>TEST-SKU</t>
        </is>
      </c>
      <c r="T53" s="3" t="n">
        <v>1</v>
      </c>
      <c r="U53" s="3" t="inlineStr">
        <is>
          <t>1</t>
        </is>
      </c>
    </row>
    <row r="54">
      <c r="A54" s="2" t="inlineStr">
        <is>
          <t>88800000000053</t>
        </is>
      </c>
      <c r="B54" s="3" t="inlineStr">
        <is>
          <t>Pokonut</t>
        </is>
      </c>
      <c r="C54" s="3" t="inlineStr">
        <is>
          <t>DelhiveryDirectSurfaceAC</t>
        </is>
      </c>
      <c r="D54" s="3" t="inlineStr">
        <is>
          <t>SURFACE</t>
        </is>
      </c>
      <c r="E54" s="3" t="n">
        <v>0.5</v>
      </c>
      <c r="F54" s="3" t="inlineStr">
        <is>
          <t>E</t>
        </is>
      </c>
      <c r="G54" s="3" t="inlineStr">
        <is>
          <t>Delivered</t>
        </is>
      </c>
      <c r="H54" s="3" t="inlineStr">
        <is>
          <t>PREPAID</t>
        </is>
      </c>
      <c r="I54" s="3" t="n">
        <v>0</v>
      </c>
      <c r="J54" s="3" t="n">
        <v>22</v>
      </c>
      <c r="K54" s="3" t="n">
        <v>0</v>
      </c>
      <c r="L54" s="3" t="n">
        <v>0</v>
      </c>
      <c r="M54" s="3" t="n">
        <v>0</v>
      </c>
      <c r="N54" s="3" t="n">
        <v>22</v>
      </c>
      <c r="O54" s="3" t="n">
        <v>25.96</v>
      </c>
      <c r="P54" s="3" t="inlineStr">
        <is>
          <t>MID0053</t>
        </is>
      </c>
      <c r="Q54" s="3" t="inlineStr">
        <is>
          <t>ORD-TEST-0053</t>
        </is>
      </c>
      <c r="R54" s="3" t="n">
        <v>799</v>
      </c>
      <c r="S54" s="3" t="inlineStr">
        <is>
          <t>TEST-SKU</t>
        </is>
      </c>
      <c r="T54" s="3" t="n">
        <v>1</v>
      </c>
      <c r="U54" s="3" t="inlineStr">
        <is>
          <t>1</t>
        </is>
      </c>
    </row>
    <row r="55">
      <c r="A55" s="2" t="inlineStr">
        <is>
          <t>88800000000054</t>
        </is>
      </c>
      <c r="B55" s="3" t="inlineStr">
        <is>
          <t>Pokonut</t>
        </is>
      </c>
      <c r="C55" s="3" t="inlineStr">
        <is>
          <t>DelhiveryDirectSurfaceAC</t>
        </is>
      </c>
      <c r="D55" s="3" t="inlineStr">
        <is>
          <t>SURFACE</t>
        </is>
      </c>
      <c r="E55" s="3" t="n">
        <v>0.5</v>
      </c>
      <c r="F55" s="3" t="inlineStr">
        <is>
          <t>A</t>
        </is>
      </c>
      <c r="G55" s="3" t="inlineStr">
        <is>
          <t>Delivered</t>
        </is>
      </c>
      <c r="H55" s="3" t="inlineStr">
        <is>
          <t>PREPAID</t>
        </is>
      </c>
      <c r="I55" s="3" t="n">
        <v>0</v>
      </c>
      <c r="J55" s="3" t="n">
        <v>33</v>
      </c>
      <c r="K55" s="3" t="n">
        <v>0</v>
      </c>
      <c r="L55" s="3" t="n">
        <v>0</v>
      </c>
      <c r="M55" s="3" t="n">
        <v>0</v>
      </c>
      <c r="N55" s="3" t="n">
        <v>33</v>
      </c>
      <c r="O55" s="3" t="n">
        <v>38.94</v>
      </c>
      <c r="P55" s="3" t="inlineStr">
        <is>
          <t>MID0054</t>
        </is>
      </c>
      <c r="Q55" s="3" t="inlineStr">
        <is>
          <t>ORD-TEST-0054</t>
        </is>
      </c>
      <c r="R55" s="3" t="n">
        <v>799</v>
      </c>
      <c r="S55" s="3" t="inlineStr">
        <is>
          <t>TEST-SKU</t>
        </is>
      </c>
      <c r="T55" s="3" t="n">
        <v>1</v>
      </c>
      <c r="U55" s="3" t="inlineStr">
        <is>
          <t>1</t>
        </is>
      </c>
    </row>
    <row r="56">
      <c r="A56" s="2" t="inlineStr">
        <is>
          <t>88800000000055</t>
        </is>
      </c>
      <c r="B56" s="3" t="inlineStr">
        <is>
          <t>Pokonut</t>
        </is>
      </c>
      <c r="C56" s="3" t="inlineStr">
        <is>
          <t>DelhiveryDirectSurfaceAC</t>
        </is>
      </c>
      <c r="D56" s="3" t="inlineStr">
        <is>
          <t>SURFACE</t>
        </is>
      </c>
      <c r="E56" s="3" t="n">
        <v>0.5</v>
      </c>
      <c r="F56" s="3" t="inlineStr">
        <is>
          <t>A</t>
        </is>
      </c>
      <c r="G56" s="3" t="inlineStr">
        <is>
          <t>Delivered</t>
        </is>
      </c>
      <c r="H56" s="3" t="inlineStr">
        <is>
          <t>PREPAID</t>
        </is>
      </c>
      <c r="I56" s="3" t="n">
        <v>0</v>
      </c>
      <c r="J56" s="3" t="n">
        <v>20</v>
      </c>
      <c r="K56" s="3" t="n">
        <v>0</v>
      </c>
      <c r="L56" s="3" t="n">
        <v>0</v>
      </c>
      <c r="M56" s="3" t="n">
        <v>0</v>
      </c>
      <c r="N56" s="3" t="n">
        <v>20</v>
      </c>
      <c r="O56" s="3" t="n">
        <v>48.6</v>
      </c>
      <c r="P56" s="3" t="inlineStr">
        <is>
          <t>MID0055</t>
        </is>
      </c>
      <c r="Q56" s="3" t="inlineStr">
        <is>
          <t>ORD-TEST-0055</t>
        </is>
      </c>
      <c r="R56" s="3" t="n">
        <v>799</v>
      </c>
      <c r="S56" s="3" t="inlineStr">
        <is>
          <t>TEST-SKU</t>
        </is>
      </c>
      <c r="T56" s="3" t="n">
        <v>1</v>
      </c>
      <c r="U56" s="3" t="inlineStr">
        <is>
          <t>1</t>
        </is>
      </c>
    </row>
    <row r="57">
      <c r="A57" s="2" t="inlineStr">
        <is>
          <t>88800000000056</t>
        </is>
      </c>
      <c r="B57" s="3" t="inlineStr">
        <is>
          <t>Pokonut</t>
        </is>
      </c>
      <c r="C57" s="3" t="inlineStr">
        <is>
          <t>DelhiveryDirectSurfaceAC</t>
        </is>
      </c>
      <c r="D57" s="3" t="inlineStr">
        <is>
          <t>SURFACE</t>
        </is>
      </c>
      <c r="E57" s="3" t="n">
        <v>0.5</v>
      </c>
      <c r="F57" s="3" t="inlineStr">
        <is>
          <t>A</t>
        </is>
      </c>
      <c r="G57" s="3" t="inlineStr">
        <is>
          <t>Delivered</t>
        </is>
      </c>
      <c r="H57" s="3" t="inlineStr">
        <is>
          <t>PREPAID</t>
        </is>
      </c>
      <c r="I57" s="3" t="n">
        <v>0</v>
      </c>
      <c r="J57" s="3" t="n">
        <v>20</v>
      </c>
      <c r="K57" s="3" t="n">
        <v>0</v>
      </c>
      <c r="L57" s="3" t="n">
        <v>0</v>
      </c>
      <c r="M57" s="3" t="n">
        <v>0</v>
      </c>
      <c r="N57" s="3" t="n">
        <v>20</v>
      </c>
      <c r="O57" s="3" t="n">
        <v>23.6</v>
      </c>
      <c r="P57" s="3" t="inlineStr">
        <is>
          <t>MID0056</t>
        </is>
      </c>
      <c r="Q57" s="3" t="inlineStr">
        <is>
          <t>ORD-TEST-0056</t>
        </is>
      </c>
      <c r="R57" s="3" t="n">
        <v>1250</v>
      </c>
      <c r="S57" s="3" t="inlineStr">
        <is>
          <t>TEST-SKU</t>
        </is>
      </c>
      <c r="T57" s="3" t="n">
        <v>1</v>
      </c>
      <c r="U57" s="3" t="inlineStr">
        <is>
          <t>1</t>
        </is>
      </c>
    </row>
    <row r="58">
      <c r="A58" s="2" t="inlineStr">
        <is>
          <t>88800000000057</t>
        </is>
      </c>
      <c r="B58" s="3" t="inlineStr">
        <is>
          <t>Pokonut</t>
        </is>
      </c>
      <c r="C58" s="3" t="inlineStr">
        <is>
          <t>DelhiveryDirectSurfaceAC</t>
        </is>
      </c>
      <c r="D58" s="3" t="inlineStr">
        <is>
          <t>SURFACE</t>
        </is>
      </c>
      <c r="E58" s="3" t="n">
        <v>0.5</v>
      </c>
      <c r="F58" s="3" t="inlineStr">
        <is>
          <t>B</t>
        </is>
      </c>
      <c r="G58" s="3" t="inlineStr">
        <is>
          <t>RTO</t>
        </is>
      </c>
      <c r="H58" s="3" t="inlineStr">
        <is>
          <t>PREPAID</t>
        </is>
      </c>
      <c r="I58" s="3" t="n">
        <v>0</v>
      </c>
      <c r="J58" s="3" t="n">
        <v>22</v>
      </c>
      <c r="K58" s="3" t="n">
        <v>20</v>
      </c>
      <c r="L58" s="3" t="n">
        <v>0</v>
      </c>
      <c r="M58" s="3" t="n">
        <v>0</v>
      </c>
      <c r="N58" s="3" t="n">
        <v>42</v>
      </c>
      <c r="O58" s="3" t="n">
        <v>49.56</v>
      </c>
      <c r="P58" s="3" t="inlineStr">
        <is>
          <t>MID0057</t>
        </is>
      </c>
      <c r="Q58" s="3" t="inlineStr">
        <is>
          <t>ORD-TEST-0057</t>
        </is>
      </c>
      <c r="R58" s="3" t="n">
        <v>899</v>
      </c>
      <c r="S58" s="3" t="inlineStr">
        <is>
          <t>TEST-SKU</t>
        </is>
      </c>
      <c r="T58" s="3" t="n">
        <v>1</v>
      </c>
      <c r="U58" s="3" t="inlineStr">
        <is>
          <t>1</t>
        </is>
      </c>
    </row>
    <row r="59">
      <c r="A59" s="2" t="inlineStr">
        <is>
          <t>88800000000058</t>
        </is>
      </c>
      <c r="B59" s="3" t="inlineStr">
        <is>
          <t>Pokonut</t>
        </is>
      </c>
      <c r="C59" s="3" t="inlineStr">
        <is>
          <t>DelhiveryDirectSurfaceAC</t>
        </is>
      </c>
      <c r="D59" s="3" t="inlineStr">
        <is>
          <t>SURFACE</t>
        </is>
      </c>
      <c r="E59" s="3" t="n">
        <v>0.5</v>
      </c>
      <c r="F59" s="3" t="inlineStr">
        <is>
          <t>C</t>
        </is>
      </c>
      <c r="G59" s="3" t="inlineStr">
        <is>
          <t>RTO</t>
        </is>
      </c>
      <c r="H59" s="3" t="inlineStr">
        <is>
          <t>PREPAID</t>
        </is>
      </c>
      <c r="I59" s="3" t="n">
        <v>0</v>
      </c>
      <c r="J59" s="3" t="n">
        <v>29</v>
      </c>
      <c r="K59" s="3" t="n">
        <v>27</v>
      </c>
      <c r="L59" s="3" t="n">
        <v>0</v>
      </c>
      <c r="M59" s="3" t="n">
        <v>0</v>
      </c>
      <c r="N59" s="3" t="n">
        <v>56</v>
      </c>
      <c r="O59" s="3" t="n">
        <v>66.08</v>
      </c>
      <c r="P59" s="3" t="inlineStr">
        <is>
          <t>MID0058</t>
        </is>
      </c>
      <c r="Q59" s="3" t="inlineStr">
        <is>
          <t>ORD-TEST-0058</t>
        </is>
      </c>
      <c r="R59" s="3" t="n">
        <v>649</v>
      </c>
      <c r="S59" s="3" t="inlineStr">
        <is>
          <t>TEST-SKU</t>
        </is>
      </c>
      <c r="T59" s="3" t="n">
        <v>1</v>
      </c>
      <c r="U59" s="3" t="inlineStr">
        <is>
          <t>1</t>
        </is>
      </c>
    </row>
    <row r="60">
      <c r="A60" s="2" t="inlineStr">
        <is>
          <t>88800000000059</t>
        </is>
      </c>
      <c r="B60" s="3" t="inlineStr">
        <is>
          <t>Pokonut</t>
        </is>
      </c>
      <c r="C60" s="3" t="inlineStr">
        <is>
          <t>DelhiveryDirectSurfaceAC</t>
        </is>
      </c>
      <c r="D60" s="3" t="inlineStr">
        <is>
          <t>SURFACE</t>
        </is>
      </c>
      <c r="E60" s="3" t="n">
        <v>0.5</v>
      </c>
      <c r="F60" s="3" t="inlineStr">
        <is>
          <t>D</t>
        </is>
      </c>
      <c r="G60" s="3" t="inlineStr">
        <is>
          <t>RTO</t>
        </is>
      </c>
      <c r="H60" s="3" t="inlineStr">
        <is>
          <t>PREPAID</t>
        </is>
      </c>
      <c r="I60" s="3" t="n">
        <v>0</v>
      </c>
      <c r="J60" s="3" t="n">
        <v>33</v>
      </c>
      <c r="K60" s="3" t="n">
        <v>31</v>
      </c>
      <c r="L60" s="3" t="n">
        <v>0</v>
      </c>
      <c r="M60" s="3" t="n">
        <v>0</v>
      </c>
      <c r="N60" s="3" t="n">
        <v>64</v>
      </c>
      <c r="O60" s="3" t="n">
        <v>75.52</v>
      </c>
      <c r="P60" s="3" t="inlineStr">
        <is>
          <t>MID0059</t>
        </is>
      </c>
      <c r="Q60" s="3" t="inlineStr">
        <is>
          <t>ORD-TEST-0059</t>
        </is>
      </c>
      <c r="R60" s="3" t="n">
        <v>1100</v>
      </c>
      <c r="S60" s="3" t="inlineStr">
        <is>
          <t>TEST-SKU</t>
        </is>
      </c>
      <c r="T60" s="3" t="n">
        <v>1</v>
      </c>
      <c r="U60" s="3" t="inlineStr">
        <is>
          <t>1</t>
        </is>
      </c>
    </row>
    <row r="61">
      <c r="A61" s="2" t="inlineStr">
        <is>
          <t>88800000000060</t>
        </is>
      </c>
      <c r="B61" s="3" t="inlineStr">
        <is>
          <t>Pokonut</t>
        </is>
      </c>
      <c r="C61" s="3" t="inlineStr">
        <is>
          <t>DelhiveryDirectSurfaceAC</t>
        </is>
      </c>
      <c r="D61" s="3" t="inlineStr">
        <is>
          <t>SURFACE</t>
        </is>
      </c>
      <c r="E61" s="3" t="n">
        <v>0.5</v>
      </c>
      <c r="F61" s="3" t="inlineStr">
        <is>
          <t>E</t>
        </is>
      </c>
      <c r="G61" s="3" t="inlineStr">
        <is>
          <t>RTO</t>
        </is>
      </c>
      <c r="H61" s="3" t="inlineStr">
        <is>
          <t>PREPAID</t>
        </is>
      </c>
      <c r="I61" s="3" t="n">
        <v>0</v>
      </c>
      <c r="J61" s="3" t="n">
        <v>39</v>
      </c>
      <c r="K61" s="3" t="n">
        <v>37</v>
      </c>
      <c r="L61" s="3" t="n">
        <v>0</v>
      </c>
      <c r="M61" s="3" t="n">
        <v>0</v>
      </c>
      <c r="N61" s="3" t="n">
        <v>76</v>
      </c>
      <c r="O61" s="3" t="n">
        <v>89.68000000000001</v>
      </c>
      <c r="P61" s="3" t="inlineStr">
        <is>
          <t>MID0060</t>
        </is>
      </c>
      <c r="Q61" s="3" t="inlineStr">
        <is>
          <t>ORD-TEST-0060</t>
        </is>
      </c>
      <c r="R61" s="3" t="n">
        <v>720</v>
      </c>
      <c r="S61" s="3" t="inlineStr">
        <is>
          <t>TEST-SKU</t>
        </is>
      </c>
      <c r="T61" s="3" t="n">
        <v>1</v>
      </c>
      <c r="U61" s="3" t="inlineStr">
        <is>
          <t>1</t>
        </is>
      </c>
    </row>
    <row r="62">
      <c r="A62" s="2" t="inlineStr">
        <is>
          <t>88800000000061</t>
        </is>
      </c>
      <c r="B62" s="3" t="inlineStr">
        <is>
          <t>Pokonut</t>
        </is>
      </c>
      <c r="C62" s="3" t="inlineStr">
        <is>
          <t>DelhiveryDirectSurfaceAC</t>
        </is>
      </c>
      <c r="D62" s="3" t="inlineStr">
        <is>
          <t>SURFACE</t>
        </is>
      </c>
      <c r="E62" s="3" t="n">
        <v>0.5</v>
      </c>
      <c r="F62" s="3" t="inlineStr">
        <is>
          <t>A</t>
        </is>
      </c>
      <c r="G62" s="3" t="inlineStr">
        <is>
          <t>Delivered</t>
        </is>
      </c>
      <c r="H62" s="3" t="inlineStr">
        <is>
          <t>PREPAID</t>
        </is>
      </c>
      <c r="I62" s="3" t="n">
        <v>0</v>
      </c>
      <c r="J62" s="3" t="n">
        <v>20</v>
      </c>
      <c r="K62" s="3" t="n">
        <v>0</v>
      </c>
      <c r="L62" s="3" t="n">
        <v>0</v>
      </c>
      <c r="M62" s="3" t="n">
        <v>0</v>
      </c>
      <c r="N62" s="3" t="n">
        <v>20</v>
      </c>
      <c r="O62" s="3" t="n">
        <v>23.6</v>
      </c>
      <c r="P62" s="3" t="inlineStr">
        <is>
          <t>MID0061</t>
        </is>
      </c>
      <c r="Q62" s="3" t="inlineStr">
        <is>
          <t>ORD-TEST-0061</t>
        </is>
      </c>
      <c r="R62" s="3" t="n"/>
      <c r="S62" s="3" t="inlineStr">
        <is>
          <t>TEST-SKU</t>
        </is>
      </c>
      <c r="T62" s="3" t="n">
        <v>1</v>
      </c>
      <c r="U62" s="3" t="inlineStr">
        <is>
          <t>1</t>
        </is>
      </c>
    </row>
    <row r="63">
      <c r="A63" s="2" t="inlineStr">
        <is>
          <t>88800000000062</t>
        </is>
      </c>
      <c r="B63" s="3" t="inlineStr">
        <is>
          <t>Pokonut</t>
        </is>
      </c>
      <c r="C63" s="3" t="inlineStr">
        <is>
          <t>DelhiveryDirectSurfaceAC</t>
        </is>
      </c>
      <c r="D63" s="3" t="inlineStr">
        <is>
          <t>SURFACE</t>
        </is>
      </c>
      <c r="E63" s="3" t="n">
        <v>0.5</v>
      </c>
      <c r="F63" s="3" t="inlineStr">
        <is>
          <t>B</t>
        </is>
      </c>
      <c r="G63" s="3" t="inlineStr">
        <is>
          <t>Delivered</t>
        </is>
      </c>
      <c r="H63" s="3" t="inlineStr">
        <is>
          <t>PREPAID</t>
        </is>
      </c>
      <c r="I63" s="3" t="n">
        <v>0</v>
      </c>
      <c r="J63" s="3" t="n">
        <v>22</v>
      </c>
      <c r="K63" s="3" t="n">
        <v>0</v>
      </c>
      <c r="L63" s="3" t="n">
        <v>0</v>
      </c>
      <c r="M63" s="3" t="n">
        <v>0</v>
      </c>
      <c r="N63" s="3" t="n">
        <v>22</v>
      </c>
      <c r="O63" s="3" t="n">
        <v>25.96</v>
      </c>
      <c r="P63" s="3" t="inlineStr">
        <is>
          <t>MID0062</t>
        </is>
      </c>
      <c r="Q63" s="3" t="inlineStr">
        <is>
          <t>ORD-TEST-0062</t>
        </is>
      </c>
      <c r="R63" s="3" t="n">
        <v>980</v>
      </c>
      <c r="S63" s="3" t="inlineStr">
        <is>
          <t>TEST-SKU</t>
        </is>
      </c>
      <c r="T63" s="3" t="n">
        <v>1</v>
      </c>
      <c r="U63" s="3" t="inlineStr">
        <is>
          <t>1</t>
        </is>
      </c>
    </row>
    <row r="64">
      <c r="A64" s="2" t="inlineStr">
        <is>
          <t>88800000000063</t>
        </is>
      </c>
      <c r="B64" s="3" t="inlineStr">
        <is>
          <t>Pokonut</t>
        </is>
      </c>
      <c r="C64" s="3" t="inlineStr">
        <is>
          <t>DelhiveryDirectSurfaceAC</t>
        </is>
      </c>
      <c r="D64" s="3" t="n"/>
      <c r="E64" s="3" t="n">
        <v>0.5</v>
      </c>
      <c r="F64" s="3" t="inlineStr">
        <is>
          <t>C</t>
        </is>
      </c>
      <c r="G64" s="3" t="inlineStr">
        <is>
          <t>Delivered</t>
        </is>
      </c>
      <c r="H64" s="3" t="inlineStr">
        <is>
          <t>PREPAID</t>
        </is>
      </c>
      <c r="I64" s="3" t="n">
        <v>0</v>
      </c>
      <c r="J64" s="3" t="n">
        <v>29</v>
      </c>
      <c r="K64" s="3" t="n">
        <v>0</v>
      </c>
      <c r="L64" s="3" t="n">
        <v>0</v>
      </c>
      <c r="M64" s="3" t="n">
        <v>0</v>
      </c>
      <c r="N64" s="3" t="n">
        <v>29</v>
      </c>
      <c r="O64" s="3" t="n">
        <v>34.22</v>
      </c>
      <c r="P64" s="3" t="inlineStr">
        <is>
          <t>MID0063</t>
        </is>
      </c>
      <c r="Q64" s="3" t="inlineStr">
        <is>
          <t>ORD-TEST-0063</t>
        </is>
      </c>
      <c r="R64" s="3" t="n">
        <v>540</v>
      </c>
      <c r="S64" s="3" t="inlineStr">
        <is>
          <t>TEST-SKU</t>
        </is>
      </c>
      <c r="T64" s="3" t="n">
        <v>1</v>
      </c>
      <c r="U64" s="3" t="inlineStr">
        <is>
          <t>1</t>
        </is>
      </c>
    </row>
    <row r="65">
      <c r="A65" s="2" t="inlineStr">
        <is>
          <t>88800000000064</t>
        </is>
      </c>
      <c r="B65" s="3" t="inlineStr">
        <is>
          <t>Pokonut</t>
        </is>
      </c>
      <c r="C65" s="3" t="inlineStr">
        <is>
          <t>DelhiveryDirectSurfaceAC</t>
        </is>
      </c>
      <c r="D65" s="3" t="inlineStr">
        <is>
          <t>SURFACE</t>
        </is>
      </c>
      <c r="E65" s="3" t="n">
        <v>0.5</v>
      </c>
      <c r="F65" s="3" t="inlineStr">
        <is>
          <t>A</t>
        </is>
      </c>
      <c r="G65" s="3" t="inlineStr">
        <is>
          <t>Delivered</t>
        </is>
      </c>
      <c r="H65" s="3" t="inlineStr">
        <is>
          <t>PREPAID</t>
        </is>
      </c>
      <c r="I65" s="3" t="n">
        <v>0</v>
      </c>
      <c r="J65" s="3" t="n">
        <v>20</v>
      </c>
      <c r="K65" s="3" t="n">
        <v>0</v>
      </c>
      <c r="L65" s="3" t="n">
        <v>0</v>
      </c>
      <c r="M65" s="3" t="n">
        <v>0</v>
      </c>
      <c r="N65" s="3" t="n">
        <v>20</v>
      </c>
      <c r="O65" s="3" t="n">
        <v>23.6</v>
      </c>
      <c r="P65" s="3" t="inlineStr">
        <is>
          <t>MID0064</t>
        </is>
      </c>
      <c r="Q65" s="3" t="inlineStr">
        <is>
          <t>ORD-TEST-0064</t>
        </is>
      </c>
      <c r="R65" s="3" t="n">
        <v>799</v>
      </c>
      <c r="S65" s="3" t="inlineStr">
        <is>
          <t>TEST-SKU</t>
        </is>
      </c>
      <c r="T65" s="3" t="n">
        <v>1</v>
      </c>
      <c r="U65" s="3" t="inlineStr">
        <is>
          <t>1</t>
        </is>
      </c>
    </row>
    <row r="66">
      <c r="A66" s="2" t="inlineStr">
        <is>
          <t>88800000000065</t>
        </is>
      </c>
      <c r="B66" s="3" t="inlineStr">
        <is>
          <t>Pokonut</t>
        </is>
      </c>
      <c r="C66" s="3" t="inlineStr">
        <is>
          <t>DelhiveryDirectSurfaceAC</t>
        </is>
      </c>
      <c r="D66" s="3" t="inlineStr">
        <is>
          <t>SURFACE</t>
        </is>
      </c>
      <c r="E66" s="3" t="n">
        <v>0.5</v>
      </c>
      <c r="F66" s="3" t="inlineStr">
        <is>
          <t>A</t>
        </is>
      </c>
      <c r="G66" s="3" t="inlineStr">
        <is>
          <t>Delivered</t>
        </is>
      </c>
      <c r="H66" s="3" t="inlineStr">
        <is>
          <t>PREPAID</t>
        </is>
      </c>
      <c r="I66" s="3" t="n">
        <v>0</v>
      </c>
      <c r="J66" s="3" t="n">
        <v>20</v>
      </c>
      <c r="K66" s="3" t="n">
        <v>0</v>
      </c>
      <c r="L66" s="3" t="n">
        <v>0</v>
      </c>
      <c r="M66" s="3" t="n">
        <v>0</v>
      </c>
      <c r="N66" s="3" t="n">
        <v>20</v>
      </c>
      <c r="O66" s="3" t="n">
        <v>23.6</v>
      </c>
      <c r="P66" s="3" t="inlineStr">
        <is>
          <t>MID0065</t>
        </is>
      </c>
      <c r="Q66" s="3" t="inlineStr">
        <is>
          <t>ORD-TEST-0065</t>
        </is>
      </c>
      <c r="R66" s="3" t="n">
        <v>799</v>
      </c>
      <c r="S66" s="3" t="inlineStr">
        <is>
          <t>TEST-SKU</t>
        </is>
      </c>
      <c r="T66" s="3" t="n">
        <v>1</v>
      </c>
      <c r="U66" s="3" t="inlineStr">
        <is>
          <t>1</t>
        </is>
      </c>
    </row>
    <row r="67">
      <c r="A67" s="2" t="inlineStr">
        <is>
          <t>88800000000066</t>
        </is>
      </c>
      <c r="B67" s="3" t="inlineStr">
        <is>
          <t>Pokonut</t>
        </is>
      </c>
      <c r="C67" s="3" t="inlineStr">
        <is>
          <t>DelhiveryDirectSurfaceAC</t>
        </is>
      </c>
      <c r="D67" s="3" t="inlineStr">
        <is>
          <t>SURFACE</t>
        </is>
      </c>
      <c r="E67" s="3" t="n">
        <v>0.5</v>
      </c>
      <c r="F67" s="3" t="inlineStr">
        <is>
          <t>A</t>
        </is>
      </c>
      <c r="G67" s="3" t="inlineStr">
        <is>
          <t>Delivered</t>
        </is>
      </c>
      <c r="H67" s="3" t="inlineStr">
        <is>
          <t>PREPAID</t>
        </is>
      </c>
      <c r="I67" s="3" t="n">
        <v>0</v>
      </c>
      <c r="J67" s="3" t="n">
        <v>20</v>
      </c>
      <c r="K67" s="3" t="n">
        <v>0</v>
      </c>
      <c r="L67" s="3" t="n">
        <v>0</v>
      </c>
      <c r="M67" s="3" t="n">
        <v>0</v>
      </c>
      <c r="N67" s="3" t="n">
        <v>20</v>
      </c>
      <c r="O67" s="3" t="n">
        <v>23.6</v>
      </c>
      <c r="P67" s="3" t="inlineStr">
        <is>
          <t>MID0066</t>
        </is>
      </c>
      <c r="Q67" s="3" t="inlineStr">
        <is>
          <t>ORD-TEST-0066</t>
        </is>
      </c>
      <c r="R67" s="3" t="n">
        <v>799</v>
      </c>
      <c r="S67" s="3" t="inlineStr">
        <is>
          <t>TEST-SKU</t>
        </is>
      </c>
      <c r="T67" s="3" t="n">
        <v>1</v>
      </c>
      <c r="U67" s="3" t="inlineStr">
        <is>
          <t>1</t>
        </is>
      </c>
    </row>
    <row r="68">
      <c r="A68" s="2" t="inlineStr">
        <is>
          <t>88800000000067</t>
        </is>
      </c>
      <c r="B68" s="3" t="inlineStr">
        <is>
          <t>Pokonut</t>
        </is>
      </c>
      <c r="C68" s="3" t="inlineStr">
        <is>
          <t>DelhiveryDirectSurfaceAC</t>
        </is>
      </c>
      <c r="D68" s="3" t="inlineStr">
        <is>
          <t>SURFACE</t>
        </is>
      </c>
      <c r="E68" s="3" t="n">
        <v>0.5</v>
      </c>
      <c r="F68" s="3" t="inlineStr">
        <is>
          <t>A</t>
        </is>
      </c>
      <c r="G68" s="3" t="inlineStr">
        <is>
          <t>Delivered</t>
        </is>
      </c>
      <c r="H68" s="3" t="inlineStr">
        <is>
          <t>PREPAID</t>
        </is>
      </c>
      <c r="I68" s="3" t="n">
        <v>0</v>
      </c>
      <c r="J68" s="3" t="n">
        <v>20</v>
      </c>
      <c r="K68" s="3" t="n">
        <v>0</v>
      </c>
      <c r="L68" s="3" t="n">
        <v>0</v>
      </c>
      <c r="M68" s="3" t="n">
        <v>0</v>
      </c>
      <c r="N68" s="3" t="n">
        <v>20</v>
      </c>
      <c r="O68" s="3" t="n">
        <v>23.6</v>
      </c>
      <c r="P68" s="3" t="inlineStr">
        <is>
          <t>MID0067</t>
        </is>
      </c>
      <c r="Q68" s="3" t="inlineStr">
        <is>
          <t>ORD-TEST-0067</t>
        </is>
      </c>
      <c r="R68" s="3" t="n">
        <v>799</v>
      </c>
      <c r="S68" s="3" t="inlineStr">
        <is>
          <t>TEST-SKU</t>
        </is>
      </c>
      <c r="T68" s="3" t="n">
        <v>1</v>
      </c>
      <c r="U68" s="3" t="inlineStr">
        <is>
          <t>1</t>
        </is>
      </c>
    </row>
    <row r="69">
      <c r="A69" s="2" t="inlineStr">
        <is>
          <t>88800000000068</t>
        </is>
      </c>
      <c r="B69" s="3" t="inlineStr">
        <is>
          <t>Pokonut</t>
        </is>
      </c>
      <c r="C69" s="3" t="inlineStr">
        <is>
          <t>DelhiveryDirectSurfaceAC</t>
        </is>
      </c>
      <c r="D69" s="3" t="inlineStr">
        <is>
          <t>SURFACE</t>
        </is>
      </c>
      <c r="E69" s="3" t="n">
        <v>0.5</v>
      </c>
      <c r="F69" s="3" t="inlineStr">
        <is>
          <t>A</t>
        </is>
      </c>
      <c r="G69" s="3" t="inlineStr">
        <is>
          <t>Delivered</t>
        </is>
      </c>
      <c r="H69" s="3" t="inlineStr">
        <is>
          <t>PREPAID</t>
        </is>
      </c>
      <c r="I69" s="3" t="n">
        <v>0</v>
      </c>
      <c r="J69" s="3" t="n">
        <v>20</v>
      </c>
      <c r="K69" s="3" t="n">
        <v>0</v>
      </c>
      <c r="L69" s="3" t="n">
        <v>0</v>
      </c>
      <c r="M69" s="3" t="n">
        <v>0</v>
      </c>
      <c r="N69" s="3" t="n">
        <v>20</v>
      </c>
      <c r="O69" s="3" t="n">
        <v>23.6</v>
      </c>
      <c r="P69" s="3" t="inlineStr">
        <is>
          <t>MID0068</t>
        </is>
      </c>
      <c r="Q69" s="3" t="inlineStr">
        <is>
          <t>ORD-TEST-0068</t>
        </is>
      </c>
      <c r="R69" s="3" t="n">
        <v>799</v>
      </c>
      <c r="S69" s="3" t="inlineStr">
        <is>
          <t>TEST-SKU</t>
        </is>
      </c>
      <c r="T69" s="3" t="n">
        <v>1</v>
      </c>
      <c r="U69" s="3" t="inlineStr">
        <is>
          <t>1</t>
        </is>
      </c>
    </row>
    <row r="70">
      <c r="A70" s="2" t="inlineStr">
        <is>
          <t>88800000000069</t>
        </is>
      </c>
      <c r="B70" s="3" t="inlineStr">
        <is>
          <t>Pokonut</t>
        </is>
      </c>
      <c r="C70" s="3" t="inlineStr">
        <is>
          <t>DelhiveryDirectSurfaceAC</t>
        </is>
      </c>
      <c r="D70" s="3" t="n"/>
      <c r="E70" s="3" t="n">
        <v>0.5</v>
      </c>
      <c r="F70" s="3" t="inlineStr">
        <is>
          <t>B</t>
        </is>
      </c>
      <c r="G70" s="3" t="inlineStr">
        <is>
          <t>Delivered</t>
        </is>
      </c>
      <c r="H70" s="3" t="inlineStr">
        <is>
          <t>PREPAID</t>
        </is>
      </c>
      <c r="I70" s="3" t="n">
        <v>0</v>
      </c>
      <c r="J70" s="3" t="n">
        <v>22</v>
      </c>
      <c r="K70" s="3" t="n">
        <v>0</v>
      </c>
      <c r="L70" s="3" t="n">
        <v>0</v>
      </c>
      <c r="M70" s="3" t="n">
        <v>0</v>
      </c>
      <c r="N70" s="3" t="n">
        <v>22</v>
      </c>
      <c r="O70" s="3" t="n">
        <v>25.96</v>
      </c>
      <c r="P70" s="3" t="inlineStr">
        <is>
          <t>MID0069</t>
        </is>
      </c>
      <c r="Q70" s="3" t="inlineStr">
        <is>
          <t>ORD-TEST-0069</t>
        </is>
      </c>
      <c r="R70" s="3" t="n">
        <v>799</v>
      </c>
      <c r="S70" s="3" t="inlineStr">
        <is>
          <t>TEST-SKU</t>
        </is>
      </c>
      <c r="T70" s="3" t="n">
        <v>1</v>
      </c>
      <c r="U70" s="3" t="inlineStr">
        <is>
          <t>1</t>
        </is>
      </c>
    </row>
    <row r="71">
      <c r="A71" s="2" t="inlineStr">
        <is>
          <t>88800000000070</t>
        </is>
      </c>
      <c r="B71" s="3" t="inlineStr">
        <is>
          <t>Pokonut</t>
        </is>
      </c>
      <c r="C71" s="3" t="inlineStr">
        <is>
          <t>DelhiveryDirectSurfaceAC</t>
        </is>
      </c>
      <c r="D71" s="3" t="inlineStr">
        <is>
          <t>ROAD</t>
        </is>
      </c>
      <c r="E71" s="3" t="n">
        <v>0.5</v>
      </c>
      <c r="F71" s="3" t="inlineStr">
        <is>
          <t>A</t>
        </is>
      </c>
      <c r="G71" s="3" t="inlineStr">
        <is>
          <t>Delivered</t>
        </is>
      </c>
      <c r="H71" s="3" t="inlineStr">
        <is>
          <t>PREPAID</t>
        </is>
      </c>
      <c r="I71" s="3" t="n">
        <v>0</v>
      </c>
      <c r="J71" s="3" t="n">
        <v>0</v>
      </c>
      <c r="K71" s="3" t="n">
        <v>0</v>
      </c>
      <c r="L71" s="3" t="n">
        <v>0</v>
      </c>
      <c r="M71" s="3" t="n">
        <v>0</v>
      </c>
      <c r="N71" s="3" t="n">
        <v>0</v>
      </c>
      <c r="O71" s="3" t="n">
        <v>0</v>
      </c>
      <c r="P71" s="3" t="inlineStr">
        <is>
          <t>MID0070</t>
        </is>
      </c>
      <c r="Q71" s="3" t="inlineStr">
        <is>
          <t>ORD-TEST-0070</t>
        </is>
      </c>
      <c r="R71" s="3" t="n">
        <v>799</v>
      </c>
      <c r="S71" s="3" t="inlineStr">
        <is>
          <t>TEST-SKU</t>
        </is>
      </c>
      <c r="T71" s="3" t="n">
        <v>1</v>
      </c>
      <c r="U71" s="3" t="inlineStr">
        <is>
          <t>1</t>
        </is>
      </c>
    </row>
    <row r="72">
      <c r="A72" s="2" t="inlineStr">
        <is>
          <t>88800000000071</t>
        </is>
      </c>
      <c r="B72" s="3" t="inlineStr">
        <is>
          <t>Pokonut</t>
        </is>
      </c>
      <c r="C72" s="3" t="inlineStr">
        <is>
          <t>BlueDart Surface</t>
        </is>
      </c>
      <c r="D72" s="3" t="inlineStr">
        <is>
          <t>AIR</t>
        </is>
      </c>
      <c r="E72" s="3" t="n">
        <v>0.5</v>
      </c>
      <c r="F72" s="3" t="inlineStr">
        <is>
          <t>A</t>
        </is>
      </c>
      <c r="G72" s="3" t="inlineStr">
        <is>
          <t>Delivered</t>
        </is>
      </c>
      <c r="H72" s="3" t="inlineStr">
        <is>
          <t>PREPAID</t>
        </is>
      </c>
      <c r="I72" s="3" t="n">
        <v>0</v>
      </c>
      <c r="J72" s="3" t="n">
        <v>0</v>
      </c>
      <c r="K72" s="3" t="n">
        <v>0</v>
      </c>
      <c r="L72" s="3" t="n">
        <v>0</v>
      </c>
      <c r="M72" s="3" t="n">
        <v>0</v>
      </c>
      <c r="N72" s="3" t="n">
        <v>0</v>
      </c>
      <c r="O72" s="3" t="n">
        <v>0</v>
      </c>
      <c r="P72" s="3" t="inlineStr">
        <is>
          <t>MID0071</t>
        </is>
      </c>
      <c r="Q72" s="3" t="inlineStr">
        <is>
          <t>ORD-TEST-0071</t>
        </is>
      </c>
      <c r="R72" s="3" t="n">
        <v>799</v>
      </c>
      <c r="S72" s="3" t="inlineStr">
        <is>
          <t>TEST-SKU</t>
        </is>
      </c>
      <c r="T72" s="3" t="n">
        <v>1</v>
      </c>
      <c r="U72" s="3" t="inlineStr">
        <is>
          <t>1</t>
        </is>
      </c>
    </row>
    <row r="73">
      <c r="A73" s="2" t="inlineStr">
        <is>
          <t>88800000000072</t>
        </is>
      </c>
      <c r="B73" s="3" t="inlineStr">
        <is>
          <t>Pokonut</t>
        </is>
      </c>
      <c r="C73" s="3" t="inlineStr">
        <is>
          <t>DelhiveryDirectSurfaceAC</t>
        </is>
      </c>
      <c r="D73" s="3" t="inlineStr">
        <is>
          <t>SURFACE</t>
        </is>
      </c>
      <c r="E73" s="3" t="n">
        <v>0.5</v>
      </c>
      <c r="F73" s="3" t="inlineStr">
        <is>
          <t>B</t>
        </is>
      </c>
      <c r="G73" s="3" t="inlineStr">
        <is>
          <t>Delivered</t>
        </is>
      </c>
      <c r="H73" s="3" t="inlineStr">
        <is>
          <t>PREPAID</t>
        </is>
      </c>
      <c r="I73" s="3" t="n">
        <v>0</v>
      </c>
      <c r="J73" s="3" t="n">
        <v>22</v>
      </c>
      <c r="K73" s="3" t="n">
        <v>0</v>
      </c>
      <c r="L73" s="3" t="n">
        <v>0</v>
      </c>
      <c r="M73" s="3" t="n">
        <v>0</v>
      </c>
      <c r="N73" s="3" t="n">
        <v>22</v>
      </c>
      <c r="O73" s="3" t="n">
        <v>25.96</v>
      </c>
      <c r="P73" s="3" t="inlineStr">
        <is>
          <t>MID0072</t>
        </is>
      </c>
      <c r="Q73" s="3" t="inlineStr">
        <is>
          <t>ORD-TEST-0072</t>
        </is>
      </c>
      <c r="R73" s="3" t="n">
        <v>799</v>
      </c>
      <c r="S73" s="3" t="inlineStr">
        <is>
          <t>TEST-SKU</t>
        </is>
      </c>
      <c r="T73" s="3" t="n">
        <v>1</v>
      </c>
      <c r="U73" s="3" t="inlineStr">
        <is>
          <t>1</t>
        </is>
      </c>
    </row>
    <row r="74">
      <c r="A74" s="2" t="inlineStr">
        <is>
          <t>88800000000072</t>
        </is>
      </c>
      <c r="B74" s="3" t="inlineStr">
        <is>
          <t>Pokonut</t>
        </is>
      </c>
      <c r="C74" s="3" t="inlineStr">
        <is>
          <t>DelhiveryDirectSurfaceAC</t>
        </is>
      </c>
      <c r="D74" s="3" t="inlineStr">
        <is>
          <t>SURFACE</t>
        </is>
      </c>
      <c r="E74" s="3" t="n">
        <v>0.5</v>
      </c>
      <c r="F74" s="3" t="inlineStr">
        <is>
          <t>B</t>
        </is>
      </c>
      <c r="G74" s="3" t="inlineStr">
        <is>
          <t>Delivered</t>
        </is>
      </c>
      <c r="H74" s="3" t="inlineStr">
        <is>
          <t>PREPAID</t>
        </is>
      </c>
      <c r="I74" s="3" t="n">
        <v>0</v>
      </c>
      <c r="J74" s="3" t="n">
        <v>22</v>
      </c>
      <c r="K74" s="3" t="n">
        <v>0</v>
      </c>
      <c r="L74" s="3" t="n">
        <v>0</v>
      </c>
      <c r="M74" s="3" t="n">
        <v>0</v>
      </c>
      <c r="N74" s="3" t="n">
        <v>22</v>
      </c>
      <c r="O74" s="3" t="n">
        <v>25.96</v>
      </c>
      <c r="P74" s="3" t="inlineStr">
        <is>
          <t>MID0072</t>
        </is>
      </c>
      <c r="Q74" s="3" t="inlineStr">
        <is>
          <t>ORD-TEST-0072-DUP</t>
        </is>
      </c>
      <c r="R74" s="3" t="n">
        <v>799</v>
      </c>
      <c r="S74" s="3" t="inlineStr">
        <is>
          <t>TEST-SKU</t>
        </is>
      </c>
      <c r="T74" s="3" t="n">
        <v>1</v>
      </c>
      <c r="U74" s="3" t="inlineStr">
        <is>
          <t>1</t>
        </is>
      </c>
    </row>
    <row r="75">
      <c r="A75" s="2" t="inlineStr">
        <is>
          <t>88800000000073</t>
        </is>
      </c>
      <c r="B75" s="3" t="inlineStr">
        <is>
          <t>Pokonut</t>
        </is>
      </c>
      <c r="C75" s="3" t="inlineStr">
        <is>
          <t>DelhiveryDirectSurfaceAC</t>
        </is>
      </c>
      <c r="D75" s="3" t="inlineStr">
        <is>
          <t>SURFACE</t>
        </is>
      </c>
      <c r="E75" s="3" t="n">
        <v>0.5</v>
      </c>
      <c r="F75" s="3" t="inlineStr">
        <is>
          <t>A</t>
        </is>
      </c>
      <c r="G75" s="3" t="inlineStr">
        <is>
          <t>Delivered</t>
        </is>
      </c>
      <c r="H75" s="3" t="inlineStr">
        <is>
          <t>PREPAID</t>
        </is>
      </c>
      <c r="I75" s="3" t="n">
        <v>0</v>
      </c>
      <c r="J75" s="3" t="n">
        <v>20</v>
      </c>
      <c r="K75" s="3" t="n">
        <v>0</v>
      </c>
      <c r="L75" s="3" t="n">
        <v>0</v>
      </c>
      <c r="M75" s="3" t="n">
        <v>0</v>
      </c>
      <c r="N75" s="3" t="n">
        <v>20</v>
      </c>
      <c r="O75" s="3" t="n">
        <v>23.6</v>
      </c>
      <c r="P75" s="3" t="inlineStr">
        <is>
          <t>MID0073</t>
        </is>
      </c>
      <c r="Q75" s="3" t="inlineStr">
        <is>
          <t>ORD-TEST-0073</t>
        </is>
      </c>
      <c r="R75" s="3" t="n">
        <v>799</v>
      </c>
      <c r="S75" s="3" t="inlineStr">
        <is>
          <t>TEST-SKU</t>
        </is>
      </c>
      <c r="T75" s="3" t="n">
        <v>1</v>
      </c>
      <c r="U75" s="3" t="inlineStr">
        <is>
          <t>1</t>
        </is>
      </c>
    </row>
    <row r="76">
      <c r="A76" s="2" t="inlineStr">
        <is>
          <t>88800000000074</t>
        </is>
      </c>
      <c r="B76" s="3" t="inlineStr">
        <is>
          <t>Pokonut</t>
        </is>
      </c>
      <c r="C76" s="3" t="inlineStr">
        <is>
          <t>DelhiveryDirectSurfaceAC</t>
        </is>
      </c>
      <c r="D76" s="3" t="inlineStr">
        <is>
          <t>SURFACE</t>
        </is>
      </c>
      <c r="E76" s="3" t="n">
        <v>0.5</v>
      </c>
      <c r="F76" s="3" t="inlineStr">
        <is>
          <t>B</t>
        </is>
      </c>
      <c r="G76" s="3" t="inlineStr">
        <is>
          <t>Delivered</t>
        </is>
      </c>
      <c r="H76" s="3" t="inlineStr">
        <is>
          <t>PREPAID</t>
        </is>
      </c>
      <c r="I76" s="3" t="n">
        <v>0</v>
      </c>
      <c r="J76" s="3" t="n">
        <v>22</v>
      </c>
      <c r="K76" s="3" t="n">
        <v>0</v>
      </c>
      <c r="L76" s="3" t="n">
        <v>0</v>
      </c>
      <c r="M76" s="3" t="n">
        <v>0</v>
      </c>
      <c r="N76" s="3" t="n">
        <v>22</v>
      </c>
      <c r="O76" s="3" t="n">
        <v>25.96</v>
      </c>
      <c r="P76" s="3" t="inlineStr">
        <is>
          <t>MID0074</t>
        </is>
      </c>
      <c r="Q76" s="3" t="inlineStr">
        <is>
          <t>ORD-TEST-0074</t>
        </is>
      </c>
      <c r="R76" s="3" t="n">
        <v>799</v>
      </c>
      <c r="S76" s="3" t="inlineStr">
        <is>
          <t>TEST-SKU</t>
        </is>
      </c>
      <c r="T76" s="3" t="n">
        <v>1</v>
      </c>
      <c r="U76" s="3" t="inlineStr">
        <is>
          <t>1</t>
        </is>
      </c>
    </row>
    <row r="77">
      <c r="A77" s="2" t="inlineStr">
        <is>
          <t>88800000000075</t>
        </is>
      </c>
      <c r="B77" s="3" t="inlineStr">
        <is>
          <t>Pokonut</t>
        </is>
      </c>
      <c r="C77" s="3" t="inlineStr">
        <is>
          <t>DelhiveryDirectSurfaceAC</t>
        </is>
      </c>
      <c r="D77" s="3" t="inlineStr">
        <is>
          <t>SURFACE</t>
        </is>
      </c>
      <c r="E77" s="3" t="n">
        <v>0.5</v>
      </c>
      <c r="F77" s="3" t="inlineStr">
        <is>
          <t>A</t>
        </is>
      </c>
      <c r="G77" s="3" t="inlineStr">
        <is>
          <t>Delivered</t>
        </is>
      </c>
      <c r="H77" s="3" t="inlineStr">
        <is>
          <t>PREPAID</t>
        </is>
      </c>
      <c r="I77" s="3" t="n">
        <v>0</v>
      </c>
      <c r="J77" s="3" t="n">
        <v>20</v>
      </c>
      <c r="K77" s="3" t="n">
        <v>0</v>
      </c>
      <c r="L77" s="3" t="n">
        <v>0</v>
      </c>
      <c r="M77" s="3" t="n">
        <v>0</v>
      </c>
      <c r="N77" s="3" t="n">
        <v>20</v>
      </c>
      <c r="O77" s="3" t="n">
        <v>23.6</v>
      </c>
      <c r="P77" s="3" t="inlineStr">
        <is>
          <t>MID0075</t>
        </is>
      </c>
      <c r="Q77" s="3" t="inlineStr">
        <is>
          <t>ORD-TEST-0075</t>
        </is>
      </c>
      <c r="R77" s="3" t="n">
        <v>799</v>
      </c>
      <c r="S77" s="3" t="inlineStr">
        <is>
          <t>TEST-SKU</t>
        </is>
      </c>
      <c r="T77" s="3" t="n">
        <v>1</v>
      </c>
      <c r="U77" s="3"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44" customWidth="1" min="3" max="3"/>
    <col width="34" customWidth="1" min="4" max="4"/>
    <col width="32" customWidth="1" min="5" max="5"/>
    <col width="20" customWidth="1" min="6" max="6"/>
    <col width="14" customWidth="1" min="7" max="7"/>
    <col width="14" customWidth="1" min="8" max="8"/>
    <col width="14" customWidth="1" min="9" max="9"/>
    <col width="16" customWidth="1" min="10" max="10"/>
    <col width="12" customWidth="1" min="11" max="11"/>
    <col width="50" customWidth="1" min="12" max="12"/>
    <col width="26" customWidth="1" min="13" max="13"/>
    <col width="10" customWidth="1" min="14" max="14"/>
  </cols>
  <sheetData>
    <row r="1" ht="42" customHeight="1">
      <c r="A1" s="1" t="inlineStr">
        <is>
          <t>Test ID</t>
        </is>
      </c>
      <c r="B1" s="1" t="inlineStr">
        <is>
          <t>AWB</t>
        </is>
      </c>
      <c r="C1" s="1" t="inlineStr">
        <is>
          <t>Scenario</t>
        </is>
      </c>
      <c r="D1" s="1" t="inlineStr">
        <is>
          <t>What it checks</t>
        </is>
      </c>
      <c r="E1" s="1" t="inlineStr">
        <is>
          <t>Load shipment file first</t>
        </is>
      </c>
      <c r="F1" s="1" t="inlineStr">
        <is>
          <t>Expected result</t>
        </is>
      </c>
      <c r="G1" s="1" t="inlineStr">
        <is>
          <t>Expected calc freight (Rs)</t>
        </is>
      </c>
      <c r="H1" s="1" t="inlineStr">
        <is>
          <t>MIS total freight (Rs)</t>
        </is>
      </c>
      <c r="I1" s="1" t="inlineStr">
        <is>
          <t>Expected difference (calc - MIS)</t>
        </is>
      </c>
      <c r="J1" s="1" t="inlineStr">
        <is>
          <t>Expected class</t>
        </is>
      </c>
      <c r="K1" s="1" t="inlineStr">
        <is>
          <t>Expected claim (Rs)</t>
        </is>
      </c>
      <c r="L1" s="1" t="inlineStr">
        <is>
          <t>Notes</t>
        </is>
      </c>
      <c r="M1" s="1" t="inlineStr">
        <is>
          <t>Actual result (you fill)</t>
        </is>
      </c>
      <c r="N1" s="1" t="inlineStr">
        <is>
          <t>Pass / Fail</t>
        </is>
      </c>
    </row>
    <row r="2">
      <c r="A2" s="5" t="inlineStr">
        <is>
          <t>MTC-001</t>
        </is>
      </c>
      <c r="B2" s="6" t="inlineStr">
        <is>
          <t>88800000000001</t>
        </is>
      </c>
      <c r="C2" s="7" t="inlineStr">
        <is>
          <t>Surface zone A, prepaid, 0.5 kg, billed correctly</t>
        </is>
      </c>
      <c r="D2" s="7" t="inlineStr">
        <is>
          <t>Basic happy path</t>
        </is>
      </c>
      <c r="E2" s="7" t="inlineStr">
        <is>
          <t>Shipment_Test_Data.xlsx</t>
        </is>
      </c>
      <c r="F2" s="7" t="inlineStr">
        <is>
          <t>MATCHED</t>
        </is>
      </c>
      <c r="G2" s="8" t="n">
        <v>23.6</v>
      </c>
      <c r="H2" s="9">
        <f>IF(ISBLANK(MIS!O2),0,MIS!O2)</f>
        <v/>
      </c>
      <c r="I2" s="9">
        <f>IF(G2="","",ROUND(G2-H2,2))</f>
        <v/>
      </c>
      <c r="J2" s="7">
        <f>IF(G2="","",IF(I2&lt;-1,"Overcharged",IF(I2&gt;1,"Undercharged","Within tolerance")))</f>
        <v/>
      </c>
      <c r="K2" s="9" t="n"/>
      <c r="L2" s="7" t="inlineStr"/>
      <c r="M2" s="10" t="n"/>
      <c r="N2" s="10" t="n"/>
    </row>
    <row r="3">
      <c r="A3" s="5" t="inlineStr">
        <is>
          <t>MTC-002</t>
        </is>
      </c>
      <c r="B3" s="6" t="inlineStr">
        <is>
          <t>88800000000002</t>
        </is>
      </c>
      <c r="C3" s="7" t="inlineStr">
        <is>
          <t>API weight 100 g vs MIS 0.5 kg (same slab)</t>
        </is>
      </c>
      <c r="D3" s="7" t="inlineStr">
        <is>
          <t>Weight compared by slab, not raw kg</t>
        </is>
      </c>
      <c r="E3" s="7" t="inlineStr">
        <is>
          <t>Shipment_Test_Data.xlsx</t>
        </is>
      </c>
      <c r="F3" s="7" t="inlineStr">
        <is>
          <t>MATCHED</t>
        </is>
      </c>
      <c r="G3" s="8" t="n">
        <v>25.96</v>
      </c>
      <c r="H3" s="9">
        <f>IF(ISBLANK(MIS!O3),0,MIS!O3)</f>
        <v/>
      </c>
      <c r="I3" s="9">
        <f>IF(G3="","",ROUND(G3-H3,2))</f>
        <v/>
      </c>
      <c r="J3" s="7">
        <f>IF(G3="","",IF(I3&lt;-1,"Overcharged",IF(I3&gt;1,"Undercharged","Within tolerance")))</f>
        <v/>
      </c>
      <c r="K3" s="9" t="n"/>
      <c r="L3" s="7" t="inlineStr"/>
      <c r="M3" s="10" t="n"/>
      <c r="N3" s="10" t="n"/>
    </row>
    <row r="4">
      <c r="A4" s="5" t="inlineStr">
        <is>
          <t>MTC-003</t>
        </is>
      </c>
      <c r="B4" s="6" t="inlineStr">
        <is>
          <t>88800000000003</t>
        </is>
      </c>
      <c r="C4" s="7" t="inlineStr">
        <is>
          <t>Exactly 1.0 kg (2 slabs)</t>
        </is>
      </c>
      <c r="D4" s="7" t="inlineStr">
        <is>
          <t>Slab rounding at an exact multiple</t>
        </is>
      </c>
      <c r="E4" s="7" t="inlineStr">
        <is>
          <t>Shipment_Test_Data.xlsx</t>
        </is>
      </c>
      <c r="F4" s="7" t="inlineStr">
        <is>
          <t>MATCHED</t>
        </is>
      </c>
      <c r="G4" s="8" t="n">
        <v>68.44</v>
      </c>
      <c r="H4" s="9">
        <f>IF(ISBLANK(MIS!O4),0,MIS!O4)</f>
        <v/>
      </c>
      <c r="I4" s="9">
        <f>IF(G4="","",ROUND(G4-H4,2))</f>
        <v/>
      </c>
      <c r="J4" s="7">
        <f>IF(G4="","",IF(I4&lt;-1,"Overcharged",IF(I4&gt;1,"Undercharged","Within tolerance")))</f>
        <v/>
      </c>
      <c r="K4" s="9" t="n"/>
      <c r="L4" s="7" t="inlineStr"/>
      <c r="M4" s="10" t="n"/>
      <c r="N4" s="10" t="n"/>
    </row>
    <row r="5">
      <c r="A5" s="5" t="inlineStr">
        <is>
          <t>MTC-004</t>
        </is>
      </c>
      <c r="B5" s="6" t="inlineStr">
        <is>
          <t>88800000000004</t>
        </is>
      </c>
      <c r="C5" s="7" t="inlineStr">
        <is>
          <t>Weight 1.01 kg (3 slabs)</t>
        </is>
      </c>
      <c r="D5" s="7" t="inlineStr">
        <is>
          <t>Slab rounding just over a slab</t>
        </is>
      </c>
      <c r="E5" s="7" t="inlineStr">
        <is>
          <t>Shipment_Test_Data.xlsx</t>
        </is>
      </c>
      <c r="F5" s="7" t="inlineStr">
        <is>
          <t>MATCHED</t>
        </is>
      </c>
      <c r="G5" s="8" t="n">
        <v>102.66</v>
      </c>
      <c r="H5" s="9">
        <f>IF(ISBLANK(MIS!O5),0,MIS!O5)</f>
        <v/>
      </c>
      <c r="I5" s="9">
        <f>IF(G5="","",ROUND(G5-H5,2))</f>
        <v/>
      </c>
      <c r="J5" s="7">
        <f>IF(G5="","",IF(I5&lt;-1,"Overcharged",IF(I5&gt;1,"Undercharged","Within tolerance")))</f>
        <v/>
      </c>
      <c r="K5" s="9" t="n"/>
      <c r="L5" s="7" t="inlineStr"/>
      <c r="M5" s="10" t="n"/>
      <c r="N5" s="10" t="n"/>
    </row>
    <row r="6">
      <c r="A6" s="5" t="inlineStr">
        <is>
          <t>MTC-005</t>
        </is>
      </c>
      <c r="B6" s="6" t="inlineStr">
        <is>
          <t>88800000000005</t>
        </is>
      </c>
      <c r="C6" s="7" t="inlineStr">
        <is>
          <t>COD 500 - flat Rs 15 wins over 1.1%</t>
        </is>
      </c>
      <c r="D6" s="7" t="inlineStr">
        <is>
          <t>COD = MAX(flat, %)</t>
        </is>
      </c>
      <c r="E6" s="7" t="inlineStr">
        <is>
          <t>Shipment_Test_Data.xlsx</t>
        </is>
      </c>
      <c r="F6" s="7" t="inlineStr">
        <is>
          <t>MATCHED</t>
        </is>
      </c>
      <c r="G6" s="8" t="n">
        <v>56.64</v>
      </c>
      <c r="H6" s="9">
        <f>IF(ISBLANK(MIS!O6),0,MIS!O6)</f>
        <v/>
      </c>
      <c r="I6" s="9">
        <f>IF(G6="","",ROUND(G6-H6,2))</f>
        <v/>
      </c>
      <c r="J6" s="7">
        <f>IF(G6="","",IF(I6&lt;-1,"Overcharged",IF(I6&gt;1,"Undercharged","Within tolerance")))</f>
        <v/>
      </c>
      <c r="K6" s="9" t="n"/>
      <c r="L6" s="7" t="inlineStr"/>
      <c r="M6" s="10" t="n"/>
      <c r="N6" s="10" t="n"/>
    </row>
    <row r="7">
      <c r="A7" s="5" t="inlineStr">
        <is>
          <t>MTC-006</t>
        </is>
      </c>
      <c r="B7" s="6" t="inlineStr">
        <is>
          <t>88800000000006</t>
        </is>
      </c>
      <c r="C7" s="7" t="inlineStr">
        <is>
          <t>COD 2000 - 1.1% (Rs 22) wins over flat</t>
        </is>
      </c>
      <c r="D7" s="7" t="inlineStr">
        <is>
          <t>COD = MAX(flat, %)</t>
        </is>
      </c>
      <c r="E7" s="7" t="inlineStr">
        <is>
          <t>Shipment_Test_Data.xlsx</t>
        </is>
      </c>
      <c r="F7" s="7" t="inlineStr">
        <is>
          <t>MATCHED</t>
        </is>
      </c>
      <c r="G7" s="8" t="n">
        <v>71.98</v>
      </c>
      <c r="H7" s="9">
        <f>IF(ISBLANK(MIS!O7),0,MIS!O7)</f>
        <v/>
      </c>
      <c r="I7" s="9">
        <f>IF(G7="","",ROUND(G7-H7,2))</f>
        <v/>
      </c>
      <c r="J7" s="7">
        <f>IF(G7="","",IF(I7&lt;-1,"Overcharged",IF(I7&gt;1,"Undercharged","Within tolerance")))</f>
        <v/>
      </c>
      <c r="K7" s="9" t="n"/>
      <c r="L7" s="7" t="inlineStr"/>
      <c r="M7" s="10" t="n"/>
      <c r="N7" s="10" t="n"/>
    </row>
    <row r="8">
      <c r="A8" s="5" t="inlineStr">
        <is>
          <t>MTC-007</t>
        </is>
      </c>
      <c r="B8" s="6" t="inlineStr">
        <is>
          <t>88800000000007</t>
        </is>
      </c>
      <c r="C8" s="7" t="inlineStr">
        <is>
          <t>COD amount left blank on a COD order</t>
        </is>
      </c>
      <c r="D8" s="7" t="inlineStr">
        <is>
          <t>Blank collectable amount treated as 0</t>
        </is>
      </c>
      <c r="E8" s="7" t="inlineStr">
        <is>
          <t>Shipment_Test_Data.xlsx</t>
        </is>
      </c>
      <c r="F8" s="7" t="inlineStr">
        <is>
          <t>MATCHED</t>
        </is>
      </c>
      <c r="G8" s="8" t="n">
        <v>41.3</v>
      </c>
      <c r="H8" s="9">
        <f>IF(ISBLANK(MIS!O8),0,MIS!O8)</f>
        <v/>
      </c>
      <c r="I8" s="9">
        <f>IF(G8="","",ROUND(G8-H8,2))</f>
        <v/>
      </c>
      <c r="J8" s="7">
        <f>IF(G8="","",IF(I8&lt;-1,"Overcharged",IF(I8&gt;1,"Undercharged","Within tolerance")))</f>
        <v/>
      </c>
      <c r="K8" s="9" t="n"/>
      <c r="L8" s="7" t="inlineStr">
        <is>
          <t>Collectable Amount cell is empty; COD charge falls back to the flat fee.</t>
        </is>
      </c>
      <c r="M8" s="10" t="n"/>
      <c r="N8" s="10" t="n"/>
    </row>
    <row r="9">
      <c r="A9" s="5" t="inlineStr">
        <is>
          <t>MTC-008</t>
        </is>
      </c>
      <c r="B9" s="6" t="inlineStr">
        <is>
          <t>88800000000008</t>
        </is>
      </c>
      <c r="C9" s="7" t="inlineStr">
        <is>
          <t>RTO delivered, prepaid (forward + RTO freight)</t>
        </is>
      </c>
      <c r="D9" s="7" t="inlineStr">
        <is>
          <t>RTO adds RTO freight</t>
        </is>
      </c>
      <c r="E9" s="7" t="inlineStr">
        <is>
          <t>Shipment_Test_Data.xlsx</t>
        </is>
      </c>
      <c r="F9" s="7" t="inlineStr">
        <is>
          <t>MATCHED</t>
        </is>
      </c>
      <c r="G9" s="8" t="n">
        <v>44.84</v>
      </c>
      <c r="H9" s="9">
        <f>IF(ISBLANK(MIS!O9),0,MIS!O9)</f>
        <v/>
      </c>
      <c r="I9" s="9">
        <f>IF(G9="","",ROUND(G9-H9,2))</f>
        <v/>
      </c>
      <c r="J9" s="7">
        <f>IF(G9="","",IF(I9&lt;-1,"Overcharged",IF(I9&gt;1,"Undercharged","Within tolerance")))</f>
        <v/>
      </c>
      <c r="K9" s="9" t="n"/>
      <c r="L9" s="7" t="inlineStr"/>
      <c r="M9" s="10" t="n"/>
      <c r="N9" s="10" t="n"/>
    </row>
    <row r="10">
      <c r="A10" s="5" t="inlineStr">
        <is>
          <t>MTC-009</t>
        </is>
      </c>
      <c r="B10" s="6" t="inlineStr">
        <is>
          <t>88800000000009</t>
        </is>
      </c>
      <c r="C10" s="7" t="inlineStr">
        <is>
          <t>Return delivered treated as RTO</t>
        </is>
      </c>
      <c r="D10" s="7" t="inlineStr">
        <is>
          <t>return_delivered counts as RTO</t>
        </is>
      </c>
      <c r="E10" s="7" t="inlineStr">
        <is>
          <t>Shipment_Test_Data.xlsx</t>
        </is>
      </c>
      <c r="F10" s="7" t="inlineStr">
        <is>
          <t>MATCHED</t>
        </is>
      </c>
      <c r="G10" s="8" t="n">
        <v>49.56</v>
      </c>
      <c r="H10" s="9">
        <f>IF(ISBLANK(MIS!O10),0,MIS!O10)</f>
        <v/>
      </c>
      <c r="I10" s="9">
        <f>IF(G10="","",ROUND(G10-H10,2))</f>
        <v/>
      </c>
      <c r="J10" s="7">
        <f>IF(G10="","",IF(I10&lt;-1,"Overcharged",IF(I10&gt;1,"Undercharged","Within tolerance")))</f>
        <v/>
      </c>
      <c r="K10" s="9" t="n"/>
      <c r="L10" s="7" t="inlineStr"/>
      <c r="M10" s="10" t="n"/>
      <c r="N10" s="10" t="n"/>
    </row>
    <row r="11">
      <c r="A11" s="5" t="inlineStr">
        <is>
          <t>MTC-010</t>
        </is>
      </c>
      <c r="B11" s="6" t="inlineStr">
        <is>
          <t>88800000000010</t>
        </is>
      </c>
      <c r="C11" s="7" t="inlineStr">
        <is>
          <t>COD order that ended in RTO - no COD charge</t>
        </is>
      </c>
      <c r="D11" s="7" t="inlineStr">
        <is>
          <t>No COD charge on RTO</t>
        </is>
      </c>
      <c r="E11" s="7" t="inlineStr">
        <is>
          <t>Shipment_Test_Data.xlsx</t>
        </is>
      </c>
      <c r="F11" s="7" t="inlineStr">
        <is>
          <t>MATCHED</t>
        </is>
      </c>
      <c r="G11" s="8" t="n">
        <v>75.52</v>
      </c>
      <c r="H11" s="9">
        <f>IF(ISBLANK(MIS!O11),0,MIS!O11)</f>
        <v/>
      </c>
      <c r="I11" s="9">
        <f>IF(G11="","",ROUND(G11-H11,2))</f>
        <v/>
      </c>
      <c r="J11" s="7">
        <f>IF(G11="","",IF(I11&lt;-1,"Overcharged",IF(I11&gt;1,"Undercharged","Within tolerance")))</f>
        <v/>
      </c>
      <c r="K11" s="9" t="n"/>
      <c r="L11" s="7" t="inlineStr"/>
      <c r="M11" s="10" t="n"/>
      <c r="N11" s="10" t="n"/>
    </row>
    <row r="12">
      <c r="A12" s="5" t="inlineStr">
        <is>
          <t>MTC-011</t>
        </is>
      </c>
      <c r="B12" s="6" t="inlineStr">
        <is>
          <t>88800000000011</t>
        </is>
      </c>
      <c r="C12" s="7" t="inlineStr">
        <is>
          <t>Air mode, COD 1000 (flat Rs 28)</t>
        </is>
      </c>
      <c r="D12" s="7" t="inlineStr">
        <is>
          <t>Air rates and COD</t>
        </is>
      </c>
      <c r="E12" s="7" t="inlineStr">
        <is>
          <t>Shipment_Test_Data.xlsx</t>
        </is>
      </c>
      <c r="F12" s="7" t="inlineStr">
        <is>
          <t>MATCHED</t>
        </is>
      </c>
      <c r="G12" s="8" t="n">
        <v>67.26000000000001</v>
      </c>
      <c r="H12" s="9">
        <f>IF(ISBLANK(MIS!O12),0,MIS!O12)</f>
        <v/>
      </c>
      <c r="I12" s="9">
        <f>IF(G12="","",ROUND(G12-H12,2))</f>
        <v/>
      </c>
      <c r="J12" s="7">
        <f>IF(G12="","",IF(I12&lt;-1,"Overcharged",IF(I12&gt;1,"Undercharged","Within tolerance")))</f>
        <v/>
      </c>
      <c r="K12" s="9" t="n"/>
      <c r="L12" s="7" t="inlineStr"/>
      <c r="M12" s="10" t="n"/>
      <c r="N12" s="10" t="n"/>
    </row>
    <row r="13">
      <c r="A13" s="5" t="inlineStr">
        <is>
          <t>MTC-012</t>
        </is>
      </c>
      <c r="B13" s="6" t="inlineStr">
        <is>
          <t>88800000000012</t>
        </is>
      </c>
      <c r="C13" s="7" t="inlineStr">
        <is>
          <t>Air mode, COD 3000 (1.5% = Rs 45)</t>
        </is>
      </c>
      <c r="D13" s="7" t="inlineStr">
        <is>
          <t>Air COD percentage</t>
        </is>
      </c>
      <c r="E13" s="7" t="inlineStr">
        <is>
          <t>Shipment_Test_Data.xlsx</t>
        </is>
      </c>
      <c r="F13" s="7" t="inlineStr">
        <is>
          <t>MATCHED</t>
        </is>
      </c>
      <c r="G13" s="8" t="n">
        <v>101.48</v>
      </c>
      <c r="H13" s="9">
        <f>IF(ISBLANK(MIS!O13),0,MIS!O13)</f>
        <v/>
      </c>
      <c r="I13" s="9">
        <f>IF(G13="","",ROUND(G13-H13,2))</f>
        <v/>
      </c>
      <c r="J13" s="7">
        <f>IF(G13="","",IF(I13&lt;-1,"Overcharged",IF(I13&gt;1,"Undercharged","Within tolerance")))</f>
        <v/>
      </c>
      <c r="K13" s="9" t="n"/>
      <c r="L13" s="7" t="inlineStr"/>
      <c r="M13" s="10" t="n"/>
      <c r="N13" s="10" t="n"/>
    </row>
    <row r="14">
      <c r="A14" s="5" t="inlineStr">
        <is>
          <t>MTC-013</t>
        </is>
      </c>
      <c r="B14" s="6" t="inlineStr">
        <is>
          <t>88800000000013</t>
        </is>
      </c>
      <c r="C14" s="7" t="inlineStr">
        <is>
          <t>NDD mode zone A</t>
        </is>
      </c>
      <c r="D14" s="7" t="inlineStr">
        <is>
          <t>NDD rates</t>
        </is>
      </c>
      <c r="E14" s="7" t="inlineStr">
        <is>
          <t>Shipment_Test_Data.xlsx</t>
        </is>
      </c>
      <c r="F14" s="7" t="inlineStr">
        <is>
          <t>MATCHED</t>
        </is>
      </c>
      <c r="G14" s="8" t="n">
        <v>31.86</v>
      </c>
      <c r="H14" s="9">
        <f>IF(ISBLANK(MIS!O14),0,MIS!O14)</f>
        <v/>
      </c>
      <c r="I14" s="9">
        <f>IF(G14="","",ROUND(G14-H14,2))</f>
        <v/>
      </c>
      <c r="J14" s="7">
        <f>IF(G14="","",IF(I14&lt;-1,"Overcharged",IF(I14&gt;1,"Undercharged","Within tolerance")))</f>
        <v/>
      </c>
      <c r="K14" s="9" t="n"/>
      <c r="L14" s="7" t="inlineStr"/>
      <c r="M14" s="10" t="n"/>
      <c r="N14" s="10" t="n"/>
    </row>
    <row r="15">
      <c r="A15" s="5" t="inlineStr">
        <is>
          <t>MTC-014</t>
        </is>
      </c>
      <c r="B15" s="6" t="inlineStr">
        <is>
          <t>88800000000014</t>
        </is>
      </c>
      <c r="C15" s="7" t="inlineStr">
        <is>
          <t>NDD mode zone E (rate is 0 in the card)</t>
        </is>
      </c>
      <c r="D15" s="7" t="inlineStr">
        <is>
          <t>Zero-rate lane</t>
        </is>
      </c>
      <c r="E15" s="7" t="inlineStr">
        <is>
          <t>Shipment_Test_Data.xlsx</t>
        </is>
      </c>
      <c r="F15" s="7" t="inlineStr">
        <is>
          <t>MATCHED</t>
        </is>
      </c>
      <c r="G15" s="8" t="n">
        <v>0</v>
      </c>
      <c r="H15" s="9">
        <f>IF(ISBLANK(MIS!O15),0,MIS!O15)</f>
        <v/>
      </c>
      <c r="I15" s="9">
        <f>IF(G15="","",ROUND(G15-H15,2))</f>
        <v/>
      </c>
      <c r="J15" s="7">
        <f>IF(G15="","",IF(I15&lt;-1,"Overcharged",IF(I15&gt;1,"Undercharged","Within tolerance")))</f>
        <v/>
      </c>
      <c r="K15" s="9" t="n"/>
      <c r="L15" s="7" t="inlineStr">
        <is>
          <t>Card has rate 0 for NDD zone E, so calculated freight is 0. Confirm the business intends this.</t>
        </is>
      </c>
      <c r="M15" s="10" t="n"/>
      <c r="N15" s="10" t="n"/>
    </row>
    <row r="16">
      <c r="A16" s="5" t="inlineStr">
        <is>
          <t>MTC-015</t>
        </is>
      </c>
      <c r="B16" s="6" t="inlineStr">
        <is>
          <t>88800000000015</t>
        </is>
      </c>
      <c r="C16" s="7" t="inlineStr">
        <is>
          <t>Pinjore hub, zone B</t>
        </is>
      </c>
      <c r="D16" s="7" t="inlineStr">
        <is>
          <t>Pickup 134102 uses the Pinjore map</t>
        </is>
      </c>
      <c r="E16" s="7" t="inlineStr">
        <is>
          <t>Shipment_Test_Data.xlsx</t>
        </is>
      </c>
      <c r="F16" s="7" t="inlineStr">
        <is>
          <t>MATCHED</t>
        </is>
      </c>
      <c r="G16" s="8" t="n">
        <v>25.96</v>
      </c>
      <c r="H16" s="9">
        <f>IF(ISBLANK(MIS!O16),0,MIS!O16)</f>
        <v/>
      </c>
      <c r="I16" s="9">
        <f>IF(G16="","",ROUND(G16-H16,2))</f>
        <v/>
      </c>
      <c r="J16" s="7">
        <f>IF(G16="","",IF(I16&lt;-1,"Overcharged",IF(I16&gt;1,"Undercharged","Within tolerance")))</f>
        <v/>
      </c>
      <c r="K16" s="9" t="n"/>
      <c r="L16" s="7" t="inlineStr"/>
      <c r="M16" s="10" t="n"/>
      <c r="N16" s="10" t="n"/>
    </row>
    <row r="17">
      <c r="A17" s="5" t="inlineStr">
        <is>
          <t>MTC-016</t>
        </is>
      </c>
      <c r="B17" s="6" t="inlineStr">
        <is>
          <t>88800000000016</t>
        </is>
      </c>
      <c r="C17" s="7" t="inlineStr">
        <is>
          <t>Pinjore hub, zone D, COD</t>
        </is>
      </c>
      <c r="D17" s="7" t="inlineStr">
        <is>
          <t>Pinjore + COD</t>
        </is>
      </c>
      <c r="E17" s="7" t="inlineStr">
        <is>
          <t>Shipment_Test_Data.xlsx</t>
        </is>
      </c>
      <c r="F17" s="7" t="inlineStr">
        <is>
          <t>MATCHED</t>
        </is>
      </c>
      <c r="G17" s="8" t="n">
        <v>56.64</v>
      </c>
      <c r="H17" s="9">
        <f>IF(ISBLANK(MIS!O17),0,MIS!O17)</f>
        <v/>
      </c>
      <c r="I17" s="9">
        <f>IF(G17="","",ROUND(G17-H17,2))</f>
        <v/>
      </c>
      <c r="J17" s="7">
        <f>IF(G17="","",IF(I17&lt;-1,"Overcharged",IF(I17&gt;1,"Undercharged","Within tolerance")))</f>
        <v/>
      </c>
      <c r="K17" s="9" t="n"/>
      <c r="L17" s="7" t="inlineStr"/>
      <c r="M17" s="10" t="n"/>
      <c r="N17" s="10" t="n"/>
    </row>
    <row r="18">
      <c r="A18" s="5" t="inlineStr">
        <is>
          <t>MTC-017</t>
        </is>
      </c>
      <c r="B18" s="6" t="inlineStr">
        <is>
          <t>88800000000017</t>
        </is>
      </c>
      <c r="C18" s="7" t="inlineStr">
        <is>
          <t>Bluedart courier surface zone A</t>
        </is>
      </c>
      <c r="D18" s="7" t="inlineStr">
        <is>
          <t>BLUEDART rate group</t>
        </is>
      </c>
      <c r="E18" s="7" t="inlineStr">
        <is>
          <t>Shipment_Test_Data.xlsx</t>
        </is>
      </c>
      <c r="F18" s="7" t="inlineStr">
        <is>
          <t>MATCHED</t>
        </is>
      </c>
      <c r="G18" s="8" t="n">
        <v>28.32</v>
      </c>
      <c r="H18" s="9">
        <f>IF(ISBLANK(MIS!O18),0,MIS!O18)</f>
        <v/>
      </c>
      <c r="I18" s="9">
        <f>IF(G18="","",ROUND(G18-H18,2))</f>
        <v/>
      </c>
      <c r="J18" s="7">
        <f>IF(G18="","",IF(I18&lt;-1,"Overcharged",IF(I18&gt;1,"Undercharged","Within tolerance")))</f>
        <v/>
      </c>
      <c r="K18" s="9" t="n"/>
      <c r="L18" s="7" t="inlineStr"/>
      <c r="M18" s="10" t="n"/>
      <c r="N18" s="10" t="n"/>
    </row>
    <row r="19">
      <c r="A19" s="5" t="inlineStr">
        <is>
          <t>MTC-018</t>
        </is>
      </c>
      <c r="B19" s="6" t="inlineStr">
        <is>
          <t>88800000000018</t>
        </is>
      </c>
      <c r="C19" s="7" t="inlineStr">
        <is>
          <t>Bluedart RTO zone C</t>
        </is>
      </c>
      <c r="D19" s="7" t="inlineStr">
        <is>
          <t>BLUEDART RTO rates</t>
        </is>
      </c>
      <c r="E19" s="7" t="inlineStr">
        <is>
          <t>Shipment_Test_Data.xlsx</t>
        </is>
      </c>
      <c r="F19" s="7" t="inlineStr">
        <is>
          <t>MATCHED</t>
        </is>
      </c>
      <c r="G19" s="8" t="n">
        <v>77.88</v>
      </c>
      <c r="H19" s="9">
        <f>IF(ISBLANK(MIS!O19),0,MIS!O19)</f>
        <v/>
      </c>
      <c r="I19" s="9">
        <f>IF(G19="","",ROUND(G19-H19,2))</f>
        <v/>
      </c>
      <c r="J19" s="7">
        <f>IF(G19="","",IF(I19&lt;-1,"Overcharged",IF(I19&gt;1,"Undercharged","Within tolerance")))</f>
        <v/>
      </c>
      <c r="K19" s="9" t="n"/>
      <c r="L19" s="7" t="inlineStr"/>
      <c r="M19" s="10" t="n"/>
      <c r="N19" s="10" t="n"/>
    </row>
    <row r="20">
      <c r="A20" s="5" t="inlineStr">
        <is>
          <t>MTC-019</t>
        </is>
      </c>
      <c r="B20" s="6" t="inlineStr">
        <is>
          <t>88800000000019</t>
        </is>
      </c>
      <c r="C20" s="7" t="inlineStr">
        <is>
          <t>Heavy parcel 10 kg (20 slabs)</t>
        </is>
      </c>
      <c r="D20" s="7" t="inlineStr">
        <is>
          <t>Large weights</t>
        </is>
      </c>
      <c r="E20" s="7" t="inlineStr">
        <is>
          <t>Shipment_Test_Data.xlsx</t>
        </is>
      </c>
      <c r="F20" s="7" t="inlineStr">
        <is>
          <t>MATCHED</t>
        </is>
      </c>
      <c r="G20" s="8" t="n">
        <v>519.2</v>
      </c>
      <c r="H20" s="9">
        <f>IF(ISBLANK(MIS!O20),0,MIS!O20)</f>
        <v/>
      </c>
      <c r="I20" s="9">
        <f>IF(G20="","",ROUND(G20-H20,2))</f>
        <v/>
      </c>
      <c r="J20" s="7">
        <f>IF(G20="","",IF(I20&lt;-1,"Overcharged",IF(I20&gt;1,"Undercharged","Within tolerance")))</f>
        <v/>
      </c>
      <c r="K20" s="9" t="n"/>
      <c r="L20" s="7" t="inlineStr"/>
      <c r="M20" s="10" t="n"/>
      <c r="N20" s="10" t="n"/>
    </row>
    <row r="21">
      <c r="A21" s="5" t="inlineStr">
        <is>
          <t>MTC-020</t>
        </is>
      </c>
      <c r="B21" s="6" t="inlineStr">
        <is>
          <t>88800000000020</t>
        </is>
      </c>
      <c r="C21" s="7" t="inlineStr">
        <is>
          <t>Tiny weight: raw value 2 (= 2 grams, NOT 2 kg)</t>
        </is>
      </c>
      <c r="D21" s="7" t="inlineStr">
        <is>
          <t>Weights are always grams</t>
        </is>
      </c>
      <c r="E21" s="7" t="inlineStr">
        <is>
          <t>Shipment_Test_Data.xlsx</t>
        </is>
      </c>
      <c r="F21" s="7" t="inlineStr">
        <is>
          <t>MATCHED</t>
        </is>
      </c>
      <c r="G21" s="8" t="n">
        <v>23.6</v>
      </c>
      <c r="H21" s="9">
        <f>IF(ISBLANK(MIS!O21),0,MIS!O21)</f>
        <v/>
      </c>
      <c r="I21" s="9">
        <f>IF(G21="","",ROUND(G21-H21,2))</f>
        <v/>
      </c>
      <c r="J21" s="7">
        <f>IF(G21="","",IF(I21&lt;-1,"Overcharged",IF(I21&gt;1,"Undercharged","Within tolerance")))</f>
        <v/>
      </c>
      <c r="K21" s="9" t="n"/>
      <c r="L21" s="7" t="inlineStr">
        <is>
          <t>Regression: raw weight 2 must become 0.002 kg (1 slab), not 2 kg.</t>
        </is>
      </c>
      <c r="M21" s="10" t="n"/>
      <c r="N21" s="10" t="n"/>
    </row>
    <row r="22">
      <c r="A22" s="5" t="inlineStr">
        <is>
          <t>MTC-021</t>
        </is>
      </c>
      <c r="B22" s="6" t="inlineStr">
        <is>
          <t>88800000000021</t>
        </is>
      </c>
      <c r="C22" s="7" t="inlineStr">
        <is>
          <t>Tiny weight: raw value 10</t>
        </is>
      </c>
      <c r="D22" s="7" t="inlineStr">
        <is>
          <t>Weights are always grams</t>
        </is>
      </c>
      <c r="E22" s="7" t="inlineStr">
        <is>
          <t>Shipment_Test_Data.xlsx</t>
        </is>
      </c>
      <c r="F22" s="7" t="inlineStr">
        <is>
          <t>MATCHED</t>
        </is>
      </c>
      <c r="G22" s="8" t="n">
        <v>25.96</v>
      </c>
      <c r="H22" s="9">
        <f>IF(ISBLANK(MIS!O22),0,MIS!O22)</f>
        <v/>
      </c>
      <c r="I22" s="9">
        <f>IF(G22="","",ROUND(G22-H22,2))</f>
        <v/>
      </c>
      <c r="J22" s="7">
        <f>IF(G22="","",IF(I22&lt;-1,"Overcharged",IF(I22&gt;1,"Undercharged","Within tolerance")))</f>
        <v/>
      </c>
      <c r="K22" s="9" t="n"/>
      <c r="L22" s="7" t="inlineStr"/>
      <c r="M22" s="10" t="n"/>
      <c r="N22" s="10" t="n"/>
    </row>
    <row r="23">
      <c r="A23" s="5" t="inlineStr">
        <is>
          <t>MTC-022</t>
        </is>
      </c>
      <c r="B23" s="6" t="inlineStr">
        <is>
          <t>88800000000022</t>
        </is>
      </c>
      <c r="C23" s="7" t="inlineStr">
        <is>
          <t>Weight exactly 500 g</t>
        </is>
      </c>
      <c r="D23" s="7" t="inlineStr">
        <is>
          <t>Boundary: 500 g = 1 slab</t>
        </is>
      </c>
      <c r="E23" s="7" t="inlineStr">
        <is>
          <t>Shipment_Test_Data.xlsx</t>
        </is>
      </c>
      <c r="F23" s="7" t="inlineStr">
        <is>
          <t>MATCHED</t>
        </is>
      </c>
      <c r="G23" s="8" t="n">
        <v>23.6</v>
      </c>
      <c r="H23" s="9">
        <f>IF(ISBLANK(MIS!O23),0,MIS!O23)</f>
        <v/>
      </c>
      <c r="I23" s="9">
        <f>IF(G23="","",ROUND(G23-H23,2))</f>
        <v/>
      </c>
      <c r="J23" s="7">
        <f>IF(G23="","",IF(I23&lt;-1,"Overcharged",IF(I23&gt;1,"Undercharged","Within tolerance")))</f>
        <v/>
      </c>
      <c r="K23" s="9" t="n"/>
      <c r="L23" s="7" t="inlineStr"/>
      <c r="M23" s="10" t="n"/>
      <c r="N23" s="10" t="n"/>
    </row>
    <row r="24">
      <c r="A24" s="5" t="inlineStr">
        <is>
          <t>MTC-023</t>
        </is>
      </c>
      <c r="B24" s="6" t="inlineStr">
        <is>
          <t>88800000000023</t>
        </is>
      </c>
      <c r="C24" s="7" t="inlineStr">
        <is>
          <t>MIS total is Rs 0.80 above calculated</t>
        </is>
      </c>
      <c r="D24" s="7" t="inlineStr">
        <is>
          <t>Inside Rs 1 tolerance</t>
        </is>
      </c>
      <c r="E24" s="7" t="inlineStr">
        <is>
          <t>Shipment_Test_Data.xlsx</t>
        </is>
      </c>
      <c r="F24" s="7" t="inlineStr">
        <is>
          <t>MATCHED</t>
        </is>
      </c>
      <c r="G24" s="8" t="n">
        <v>23.6</v>
      </c>
      <c r="H24" s="9">
        <f>IF(ISBLANK(MIS!O24),0,MIS!O24)</f>
        <v/>
      </c>
      <c r="I24" s="9">
        <f>IF(G24="","",ROUND(G24-H24,2))</f>
        <v/>
      </c>
      <c r="J24" s="7">
        <f>IF(G24="","",IF(I24&lt;-1,"Overcharged",IF(I24&gt;1,"Undercharged","Within tolerance")))</f>
        <v/>
      </c>
      <c r="K24" s="9" t="n"/>
      <c r="L24" s="7" t="inlineStr">
        <is>
          <t>Delta = -0.80, within tolerance so still MATCHED.</t>
        </is>
      </c>
      <c r="M24" s="10" t="n"/>
      <c r="N24" s="10" t="n"/>
    </row>
    <row r="25">
      <c r="A25" s="5" t="inlineStr">
        <is>
          <t>MTC-024</t>
        </is>
      </c>
      <c r="B25" s="6" t="inlineStr">
        <is>
          <t>88800000000024</t>
        </is>
      </c>
      <c r="C25" s="7" t="inlineStr">
        <is>
          <t>MIS total is exactly Rs 1.00 above calculated</t>
        </is>
      </c>
      <c r="D25" s="7" t="inlineStr">
        <is>
          <t>Tolerance boundary (not more than 1)</t>
        </is>
      </c>
      <c r="E25" s="7" t="inlineStr">
        <is>
          <t>Shipment_Test_Data.xlsx</t>
        </is>
      </c>
      <c r="F25" s="7" t="inlineStr">
        <is>
          <t>MATCHED</t>
        </is>
      </c>
      <c r="G25" s="8" t="n">
        <v>25.96</v>
      </c>
      <c r="H25" s="9">
        <f>IF(ISBLANK(MIS!O25),0,MIS!O25)</f>
        <v/>
      </c>
      <c r="I25" s="9">
        <f>IF(G25="","",ROUND(G25-H25,2))</f>
        <v/>
      </c>
      <c r="J25" s="7">
        <f>IF(G25="","",IF(I25&lt;-1,"Overcharged",IF(I25&gt;1,"Undercharged","Within tolerance")))</f>
        <v/>
      </c>
      <c r="K25" s="9" t="n"/>
      <c r="L25" s="7" t="inlineStr">
        <is>
          <t>Delta = -1.00 is not greater than 1, so MATCHED.</t>
        </is>
      </c>
      <c r="M25" s="10" t="n"/>
      <c r="N25" s="10" t="n"/>
    </row>
    <row r="26">
      <c r="A26" s="5" t="inlineStr">
        <is>
          <t>MTC-025</t>
        </is>
      </c>
      <c r="B26" s="6" t="inlineStr">
        <is>
          <t>88800000000025</t>
        </is>
      </c>
      <c r="C26" s="7" t="inlineStr">
        <is>
          <t>MIS zone written in lowercase</t>
        </is>
      </c>
      <c r="D26" s="7" t="inlineStr">
        <is>
          <t>Zone is upper-cased on read</t>
        </is>
      </c>
      <c r="E26" s="7" t="inlineStr">
        <is>
          <t>Shipment_Test_Data.xlsx</t>
        </is>
      </c>
      <c r="F26" s="7" t="inlineStr">
        <is>
          <t>MATCHED</t>
        </is>
      </c>
      <c r="G26" s="8" t="n">
        <v>34.22</v>
      </c>
      <c r="H26" s="9">
        <f>IF(ISBLANK(MIS!O26),0,MIS!O26)</f>
        <v/>
      </c>
      <c r="I26" s="9">
        <f>IF(G26="","",ROUND(G26-H26,2))</f>
        <v/>
      </c>
      <c r="J26" s="7">
        <f>IF(G26="","",IF(I26&lt;-1,"Overcharged",IF(I26&gt;1,"Undercharged","Within tolerance")))</f>
        <v/>
      </c>
      <c r="K26" s="9" t="n"/>
      <c r="L26" s="7" t="inlineStr"/>
      <c r="M26" s="10" t="n"/>
      <c r="N26" s="10" t="n"/>
    </row>
    <row r="27">
      <c r="A27" s="5" t="inlineStr">
        <is>
          <t>MTC-026</t>
        </is>
      </c>
      <c r="B27" s="6" t="inlineStr">
        <is>
          <t>88800000000026</t>
        </is>
      </c>
      <c r="C27" s="7" t="inlineStr">
        <is>
          <t>Payment written as 'cod' / 'Prepaid'</t>
        </is>
      </c>
      <c r="D27" s="7" t="inlineStr">
        <is>
          <t>Payment compared ignoring case</t>
        </is>
      </c>
      <c r="E27" s="7" t="inlineStr">
        <is>
          <t>Shipment_Test_Data.xlsx</t>
        </is>
      </c>
      <c r="F27" s="7" t="inlineStr">
        <is>
          <t>MATCHED</t>
        </is>
      </c>
      <c r="G27" s="8" t="n">
        <v>41.3</v>
      </c>
      <c r="H27" s="9">
        <f>IF(ISBLANK(MIS!O27),0,MIS!O27)</f>
        <v/>
      </c>
      <c r="I27" s="9">
        <f>IF(G27="","",ROUND(G27-H27,2))</f>
        <v/>
      </c>
      <c r="J27" s="7">
        <f>IF(G27="","",IF(I27&lt;-1,"Overcharged",IF(I27&gt;1,"Undercharged","Within tolerance")))</f>
        <v/>
      </c>
      <c r="K27" s="9" t="n"/>
      <c r="L27" s="7" t="inlineStr"/>
      <c r="M27" s="10" t="n"/>
      <c r="N27" s="10" t="n"/>
    </row>
    <row r="28">
      <c r="A28" s="5" t="inlineStr">
        <is>
          <t>MTC-027</t>
        </is>
      </c>
      <c r="B28" s="6" t="inlineStr">
        <is>
          <t>88800000000027</t>
        </is>
      </c>
      <c r="C28" s="7" t="inlineStr">
        <is>
          <t>Shipment status in capitals 'DELIVERED'</t>
        </is>
      </c>
      <c r="D28" s="7" t="inlineStr">
        <is>
          <t>Status compared ignoring case</t>
        </is>
      </c>
      <c r="E28" s="7" t="inlineStr">
        <is>
          <t>Shipment_Test_Data.xlsx</t>
        </is>
      </c>
      <c r="F28" s="7" t="inlineStr">
        <is>
          <t>MATCHED</t>
        </is>
      </c>
      <c r="G28" s="8" t="n">
        <v>23.6</v>
      </c>
      <c r="H28" s="9">
        <f>IF(ISBLANK(MIS!O28),0,MIS!O28)</f>
        <v/>
      </c>
      <c r="I28" s="9">
        <f>IF(G28="","",ROUND(G28-H28,2))</f>
        <v/>
      </c>
      <c r="J28" s="7">
        <f>IF(G28="","",IF(I28&lt;-1,"Overcharged",IF(I28&gt;1,"Undercharged","Within tolerance")))</f>
        <v/>
      </c>
      <c r="K28" s="9" t="n"/>
      <c r="L28" s="7" t="inlineStr"/>
      <c r="M28" s="10" t="n"/>
      <c r="N28" s="10" t="n"/>
    </row>
    <row r="29">
      <c r="A29" s="5" t="inlineStr">
        <is>
          <t>MTC-028</t>
        </is>
      </c>
      <c r="B29" s="6" t="inlineStr">
        <is>
          <t>88800000000028</t>
        </is>
      </c>
      <c r="C29" s="7" t="inlineStr">
        <is>
          <t>AWB stored as a number in the MIS sheet</t>
        </is>
      </c>
      <c r="D29" s="7" t="inlineStr">
        <is>
          <t>Numeric AWB matches text AWB</t>
        </is>
      </c>
      <c r="E29" s="7" t="inlineStr">
        <is>
          <t>Shipment_Test_Data.xlsx</t>
        </is>
      </c>
      <c r="F29" s="7" t="inlineStr">
        <is>
          <t>MATCHED</t>
        </is>
      </c>
      <c r="G29" s="8" t="n">
        <v>25.96</v>
      </c>
      <c r="H29" s="9">
        <f>IF(ISBLANK(MIS!O29),0,MIS!O29)</f>
        <v/>
      </c>
      <c r="I29" s="9">
        <f>IF(G29="","",ROUND(G29-H29,2))</f>
        <v/>
      </c>
      <c r="J29" s="7">
        <f>IF(G29="","",IF(I29&lt;-1,"Overcharged",IF(I29&gt;1,"Undercharged","Within tolerance")))</f>
        <v/>
      </c>
      <c r="K29" s="9" t="n"/>
      <c r="L29" s="7" t="inlineStr"/>
      <c r="M29" s="10" t="n"/>
      <c r="N29" s="10" t="n"/>
    </row>
    <row r="30">
      <c r="A30" s="5" t="inlineStr">
        <is>
          <t>MTC-029</t>
        </is>
      </c>
      <c r="B30" s="6" t="inlineStr">
        <is>
          <t>88800000000029</t>
        </is>
      </c>
      <c r="C30" s="7" t="inlineStr">
        <is>
          <t>AWB with leading/trailing spaces in MIS</t>
        </is>
      </c>
      <c r="D30" s="7" t="inlineStr">
        <is>
          <t>AWB trimming</t>
        </is>
      </c>
      <c r="E30" s="7" t="inlineStr">
        <is>
          <t>Shipment_Test_Data.xlsx</t>
        </is>
      </c>
      <c r="F30" s="7" t="inlineStr">
        <is>
          <t>MATCHED</t>
        </is>
      </c>
      <c r="G30" s="8" t="n">
        <v>34.22</v>
      </c>
      <c r="H30" s="9">
        <f>IF(ISBLANK(MIS!O30),0,MIS!O30)</f>
        <v/>
      </c>
      <c r="I30" s="9">
        <f>IF(G30="","",ROUND(G30-H30,2))</f>
        <v/>
      </c>
      <c r="J30" s="7">
        <f>IF(G30="","",IF(I30&lt;-1,"Overcharged",IF(I30&gt;1,"Undercharged","Within tolerance")))</f>
        <v/>
      </c>
      <c r="K30" s="9" t="n"/>
      <c r="L30" s="7" t="inlineStr">
        <is>
          <t>The app trims spaces around the AWB, so this row should match the shipment normally.</t>
        </is>
      </c>
      <c r="M30" s="10" t="n"/>
      <c r="N30" s="10" t="n"/>
    </row>
    <row r="31">
      <c r="A31" s="5" t="inlineStr">
        <is>
          <t>MTC-030</t>
        </is>
      </c>
      <c r="B31" s="6" t="inlineStr">
        <is>
          <t>88800000000030</t>
        </is>
      </c>
      <c r="C31" s="7" t="inlineStr">
        <is>
          <t>MIS Cancelled vs shipment cancelled</t>
        </is>
      </c>
      <c r="D31" s="7" t="inlineStr">
        <is>
          <t>Non-delivered statuses compared by group</t>
        </is>
      </c>
      <c r="E31" s="7" t="inlineStr">
        <is>
          <t>Shipment_Test_Data.xlsx</t>
        </is>
      </c>
      <c r="F31" s="7" t="inlineStr">
        <is>
          <t>MATCHED</t>
        </is>
      </c>
      <c r="G31" s="8" t="n">
        <v>23.6</v>
      </c>
      <c r="H31" s="9">
        <f>IF(ISBLANK(MIS!O31),0,MIS!O31)</f>
        <v/>
      </c>
      <c r="I31" s="9">
        <f>IF(G31="","",ROUND(G31-H31,2))</f>
        <v/>
      </c>
      <c r="J31" s="7">
        <f>IF(G31="","",IF(I31&lt;-1,"Overcharged",IF(I31&gt;1,"Undercharged","Within tolerance")))</f>
        <v/>
      </c>
      <c r="K31" s="9" t="n"/>
      <c r="L31" s="7" t="inlineStr">
        <is>
          <t>Status matches by group; freight is still calculated.</t>
        </is>
      </c>
      <c r="M31" s="10" t="n"/>
      <c r="N31" s="10" t="n"/>
    </row>
    <row r="32">
      <c r="A32" s="5" t="inlineStr">
        <is>
          <t>MTC-031</t>
        </is>
      </c>
      <c r="B32" s="6" t="inlineStr">
        <is>
          <t>88800000000031</t>
        </is>
      </c>
      <c r="C32" s="7" t="inlineStr">
        <is>
          <t>Shipment file has the AWB twice (last row wins)</t>
        </is>
      </c>
      <c r="D32" s="7" t="inlineStr">
        <is>
          <t>Duplicate AWB inside shipment file</t>
        </is>
      </c>
      <c r="E32" s="7" t="inlineStr">
        <is>
          <t>Shipment_Test_Data.xlsx</t>
        </is>
      </c>
      <c r="F32" s="7" t="inlineStr">
        <is>
          <t>MATCHED</t>
        </is>
      </c>
      <c r="G32" s="8" t="n">
        <v>23.6</v>
      </c>
      <c r="H32" s="9">
        <f>IF(ISBLANK(MIS!O32),0,MIS!O32)</f>
        <v/>
      </c>
      <c r="I32" s="9">
        <f>IF(G32="","",ROUND(G32-H32,2))</f>
        <v/>
      </c>
      <c r="J32" s="7">
        <f>IF(G32="","",IF(I32&lt;-1,"Overcharged",IF(I32&gt;1,"Undercharged","Within tolerance")))</f>
        <v/>
      </c>
      <c r="K32" s="9" t="n"/>
      <c r="L32" s="7" t="inlineStr">
        <is>
          <t>Shipment file lists this AWB first as in_transit then as delivered. The last row should win.</t>
        </is>
      </c>
      <c r="M32" s="10" t="n"/>
      <c r="N32" s="10" t="n"/>
    </row>
    <row r="33">
      <c r="A33" s="5" t="inlineStr">
        <is>
          <t>MTC-032</t>
        </is>
      </c>
      <c r="B33" s="6" t="inlineStr">
        <is>
          <t>88800000000032</t>
        </is>
      </c>
      <c r="C33" s="7" t="inlineStr">
        <is>
          <t>Kwikship overcharged by Rs 10</t>
        </is>
      </c>
      <c r="D33" s="7" t="inlineStr">
        <is>
          <t>Overcharge</t>
        </is>
      </c>
      <c r="E33" s="7" t="inlineStr">
        <is>
          <t>Shipment_Test_Data.xlsx</t>
        </is>
      </c>
      <c r="F33" s="7" t="inlineStr">
        <is>
          <t>FREIGHT_MISMATCH</t>
        </is>
      </c>
      <c r="G33" s="8" t="n">
        <v>25.96</v>
      </c>
      <c r="H33" s="9">
        <f>IF(ISBLANK(MIS!O33),0,MIS!O33)</f>
        <v/>
      </c>
      <c r="I33" s="9">
        <f>IF(G33="","",ROUND(G33-H33,2))</f>
        <v/>
      </c>
      <c r="J33" s="7">
        <f>IF(G33="","",IF(I33&lt;-1,"Overcharged",IF(I33&gt;1,"Undercharged","Within tolerance")))</f>
        <v/>
      </c>
      <c r="K33" s="9" t="n"/>
      <c r="L33" s="7" t="inlineStr"/>
      <c r="M33" s="10" t="n"/>
      <c r="N33" s="10" t="n"/>
    </row>
    <row r="34">
      <c r="A34" s="5" t="inlineStr">
        <is>
          <t>MTC-033</t>
        </is>
      </c>
      <c r="B34" s="6" t="inlineStr">
        <is>
          <t>88800000000033</t>
        </is>
      </c>
      <c r="C34" s="7" t="inlineStr">
        <is>
          <t>Kwikship overcharged by Rs 50</t>
        </is>
      </c>
      <c r="D34" s="7" t="inlineStr">
        <is>
          <t>Overcharge (larger)</t>
        </is>
      </c>
      <c r="E34" s="7" t="inlineStr">
        <is>
          <t>Shipment_Test_Data.xlsx</t>
        </is>
      </c>
      <c r="F34" s="7" t="inlineStr">
        <is>
          <t>FREIGHT_MISMATCH</t>
        </is>
      </c>
      <c r="G34" s="8" t="n">
        <v>38.94</v>
      </c>
      <c r="H34" s="9">
        <f>IF(ISBLANK(MIS!O34),0,MIS!O34)</f>
        <v/>
      </c>
      <c r="I34" s="9">
        <f>IF(G34="","",ROUND(G34-H34,2))</f>
        <v/>
      </c>
      <c r="J34" s="7">
        <f>IF(G34="","",IF(I34&lt;-1,"Overcharged",IF(I34&gt;1,"Undercharged","Within tolerance")))</f>
        <v/>
      </c>
      <c r="K34" s="9" t="n"/>
      <c r="L34" s="7" t="inlineStr"/>
      <c r="M34" s="10" t="n"/>
      <c r="N34" s="10" t="n"/>
    </row>
    <row r="35">
      <c r="A35" s="5" t="inlineStr">
        <is>
          <t>MTC-034</t>
        </is>
      </c>
      <c r="B35" s="6" t="inlineStr">
        <is>
          <t>88800000000034</t>
        </is>
      </c>
      <c r="C35" s="7" t="inlineStr">
        <is>
          <t>Kwikship undercharged by Rs 10</t>
        </is>
      </c>
      <c r="D35" s="7" t="inlineStr">
        <is>
          <t>Undercharge</t>
        </is>
      </c>
      <c r="E35" s="7" t="inlineStr">
        <is>
          <t>Shipment_Test_Data.xlsx</t>
        </is>
      </c>
      <c r="F35" s="7" t="inlineStr">
        <is>
          <t>FREIGHT_MISMATCH</t>
        </is>
      </c>
      <c r="G35" s="8" t="n">
        <v>34.22</v>
      </c>
      <c r="H35" s="9">
        <f>IF(ISBLANK(MIS!O35),0,MIS!O35)</f>
        <v/>
      </c>
      <c r="I35" s="9">
        <f>IF(G35="","",ROUND(G35-H35,2))</f>
        <v/>
      </c>
      <c r="J35" s="7">
        <f>IF(G35="","",IF(I35&lt;-1,"Overcharged",IF(I35&gt;1,"Undercharged","Within tolerance")))</f>
        <v/>
      </c>
      <c r="K35" s="9" t="n"/>
      <c r="L35" s="7" t="inlineStr"/>
      <c r="M35" s="10" t="n"/>
      <c r="N35" s="10" t="n"/>
    </row>
    <row r="36">
      <c r="A36" s="5" t="inlineStr">
        <is>
          <t>MTC-035</t>
        </is>
      </c>
      <c r="B36" s="6" t="inlineStr">
        <is>
          <t>88800000000035</t>
        </is>
      </c>
      <c r="C36" s="7" t="inlineStr">
        <is>
          <t>Rs 1.01 over calculated (just past tolerance)</t>
        </is>
      </c>
      <c r="D36" s="7" t="inlineStr">
        <is>
          <t>Tolerance boundary</t>
        </is>
      </c>
      <c r="E36" s="7" t="inlineStr">
        <is>
          <t>Shipment_Test_Data.xlsx</t>
        </is>
      </c>
      <c r="F36" s="7" t="inlineStr">
        <is>
          <t>FREIGHT_MISMATCH</t>
        </is>
      </c>
      <c r="G36" s="8" t="n">
        <v>23.6</v>
      </c>
      <c r="H36" s="9">
        <f>IF(ISBLANK(MIS!O36),0,MIS!O36)</f>
        <v/>
      </c>
      <c r="I36" s="9">
        <f>IF(G36="","",ROUND(G36-H36,2))</f>
        <v/>
      </c>
      <c r="J36" s="7">
        <f>IF(G36="","",IF(I36&lt;-1,"Overcharged",IF(I36&gt;1,"Undercharged","Within tolerance")))</f>
        <v/>
      </c>
      <c r="K36" s="9" t="n"/>
      <c r="L36" s="7" t="inlineStr"/>
      <c r="M36" s="10" t="n"/>
      <c r="N36" s="10" t="n"/>
    </row>
    <row r="37">
      <c r="A37" s="5" t="inlineStr">
        <is>
          <t>MTC-036</t>
        </is>
      </c>
      <c r="B37" s="6" t="inlineStr">
        <is>
          <t>88800000000036</t>
        </is>
      </c>
      <c r="C37" s="7" t="inlineStr">
        <is>
          <t>MIS Total Freight left blank</t>
        </is>
      </c>
      <c r="D37" s="7" t="inlineStr">
        <is>
          <t>Blank total treated as 0</t>
        </is>
      </c>
      <c r="E37" s="7" t="inlineStr">
        <is>
          <t>Shipment_Test_Data.xlsx</t>
        </is>
      </c>
      <c r="F37" s="7" t="inlineStr">
        <is>
          <t>FREIGHT_MISMATCH</t>
        </is>
      </c>
      <c r="G37" s="8" t="n">
        <v>23.6</v>
      </c>
      <c r="H37" s="9">
        <f>IF(ISBLANK(MIS!O37),0,MIS!O37)</f>
        <v/>
      </c>
      <c r="I37" s="9">
        <f>IF(G37="","",ROUND(G37-H37,2))</f>
        <v/>
      </c>
      <c r="J37" s="7">
        <f>IF(G37="","",IF(I37&lt;-1,"Overcharged",IF(I37&gt;1,"Undercharged","Within tolerance")))</f>
        <v/>
      </c>
      <c r="K37" s="9" t="n"/>
      <c r="L37" s="7" t="inlineStr">
        <is>
          <t>Whole calculated freight shows as undercharged.</t>
        </is>
      </c>
      <c r="M37" s="10" t="n"/>
      <c r="N37" s="10" t="n"/>
    </row>
    <row r="38">
      <c r="A38" s="5" t="inlineStr">
        <is>
          <t>MTC-037</t>
        </is>
      </c>
      <c r="B38" s="6" t="inlineStr">
        <is>
          <t>88800000000037</t>
        </is>
      </c>
      <c r="C38" s="7" t="inlineStr">
        <is>
          <t>Kwikship forgot the COD charge</t>
        </is>
      </c>
      <c r="D38" s="7" t="inlineStr">
        <is>
          <t>Missing COD charge</t>
        </is>
      </c>
      <c r="E38" s="7" t="inlineStr">
        <is>
          <t>Shipment_Test_Data.xlsx</t>
        </is>
      </c>
      <c r="F38" s="7" t="inlineStr">
        <is>
          <t>FREIGHT_MISMATCH</t>
        </is>
      </c>
      <c r="G38" s="8" t="n">
        <v>43.66</v>
      </c>
      <c r="H38" s="9">
        <f>IF(ISBLANK(MIS!O38),0,MIS!O38)</f>
        <v/>
      </c>
      <c r="I38" s="9">
        <f>IF(G38="","",ROUND(G38-H38,2))</f>
        <v/>
      </c>
      <c r="J38" s="7">
        <f>IF(G38="","",IF(I38&lt;-1,"Overcharged",IF(I38&gt;1,"Undercharged","Within tolerance")))</f>
        <v/>
      </c>
      <c r="K38" s="9" t="n"/>
      <c r="L38" s="7" t="inlineStr"/>
      <c r="M38" s="10" t="n"/>
      <c r="N38" s="10" t="n"/>
    </row>
    <row r="39">
      <c r="A39" s="5" t="inlineStr">
        <is>
          <t>MTC-038</t>
        </is>
      </c>
      <c r="B39" s="6" t="inlineStr">
        <is>
          <t>88800000000038</t>
        </is>
      </c>
      <c r="C39" s="7" t="inlineStr">
        <is>
          <t>Kwikship charged COD on an RTO order</t>
        </is>
      </c>
      <c r="D39" s="7" t="inlineStr">
        <is>
          <t>COD on RTO overcharge</t>
        </is>
      </c>
      <c r="E39" s="7" t="inlineStr">
        <is>
          <t>Shipment_Test_Data.xlsx</t>
        </is>
      </c>
      <c r="F39" s="7" t="inlineStr">
        <is>
          <t>FREIGHT_MISMATCH</t>
        </is>
      </c>
      <c r="G39" s="8" t="n">
        <v>66.08</v>
      </c>
      <c r="H39" s="9">
        <f>IF(ISBLANK(MIS!O39),0,MIS!O39)</f>
        <v/>
      </c>
      <c r="I39" s="9">
        <f>IF(G39="","",ROUND(G39-H39,2))</f>
        <v/>
      </c>
      <c r="J39" s="7">
        <f>IF(G39="","",IF(I39&lt;-1,"Overcharged",IF(I39&gt;1,"Undercharged","Within tolerance")))</f>
        <v/>
      </c>
      <c r="K39" s="9" t="n"/>
      <c r="L39" s="7" t="inlineStr"/>
      <c r="M39" s="10" t="n"/>
      <c r="N39" s="10" t="n"/>
    </row>
    <row r="40">
      <c r="A40" s="5" t="inlineStr">
        <is>
          <t>MTC-039</t>
        </is>
      </c>
      <c r="B40" s="6" t="inlineStr">
        <is>
          <t>88800000000039</t>
        </is>
      </c>
      <c r="C40" s="7" t="inlineStr">
        <is>
          <t>Kwikship left out the RTO charge</t>
        </is>
      </c>
      <c r="D40" s="7" t="inlineStr">
        <is>
          <t>Missing RTO freight</t>
        </is>
      </c>
      <c r="E40" s="7" t="inlineStr">
        <is>
          <t>Shipment_Test_Data.xlsx</t>
        </is>
      </c>
      <c r="F40" s="7" t="inlineStr">
        <is>
          <t>FREIGHT_MISMATCH</t>
        </is>
      </c>
      <c r="G40" s="8" t="n">
        <v>75.52</v>
      </c>
      <c r="H40" s="9">
        <f>IF(ISBLANK(MIS!O40),0,MIS!O40)</f>
        <v/>
      </c>
      <c r="I40" s="9">
        <f>IF(G40="","",ROUND(G40-H40,2))</f>
        <v/>
      </c>
      <c r="J40" s="7">
        <f>IF(G40="","",IF(I40&lt;-1,"Overcharged",IF(I40&gt;1,"Undercharged","Within tolerance")))</f>
        <v/>
      </c>
      <c r="K40" s="9" t="n"/>
      <c r="L40" s="7" t="inlineStr"/>
      <c r="M40" s="10" t="n"/>
      <c r="N40" s="10" t="n"/>
    </row>
    <row r="41">
      <c r="A41" s="5" t="inlineStr">
        <is>
          <t>MTC-040</t>
        </is>
      </c>
      <c r="B41" s="6" t="inlineStr">
        <is>
          <t>88800000000040</t>
        </is>
      </c>
      <c r="C41" s="7" t="inlineStr">
        <is>
          <t>Kwikship did not add 18% GST</t>
        </is>
      </c>
      <c r="D41" s="7" t="inlineStr">
        <is>
          <t>GST missing</t>
        </is>
      </c>
      <c r="E41" s="7" t="inlineStr">
        <is>
          <t>Shipment_Test_Data.xlsx</t>
        </is>
      </c>
      <c r="F41" s="7" t="inlineStr">
        <is>
          <t>FREIGHT_MISMATCH</t>
        </is>
      </c>
      <c r="G41" s="8" t="n">
        <v>25.96</v>
      </c>
      <c r="H41" s="9">
        <f>IF(ISBLANK(MIS!O41),0,MIS!O41)</f>
        <v/>
      </c>
      <c r="I41" s="9">
        <f>IF(G41="","",ROUND(G41-H41,2))</f>
        <v/>
      </c>
      <c r="J41" s="7">
        <f>IF(G41="","",IF(I41&lt;-1,"Overcharged",IF(I41&gt;1,"Undercharged","Within tolerance")))</f>
        <v/>
      </c>
      <c r="K41" s="9" t="n"/>
      <c r="L41" s="7" t="inlineStr"/>
      <c r="M41" s="10" t="n"/>
      <c r="N41" s="10" t="n"/>
    </row>
    <row r="42">
      <c r="A42" s="5" t="inlineStr">
        <is>
          <t>MTC-041</t>
        </is>
      </c>
      <c r="B42" s="6" t="inlineStr">
        <is>
          <t>88800000000041</t>
        </is>
      </c>
      <c r="C42" s="7" t="inlineStr">
        <is>
          <t>Payment: MIS says COD, shipment says PREPAID</t>
        </is>
      </c>
      <c r="D42" s="7" t="inlineStr">
        <is>
          <t>Payment mismatch</t>
        </is>
      </c>
      <c r="E42" s="7" t="inlineStr">
        <is>
          <t>Shipment_Test_Data.xlsx</t>
        </is>
      </c>
      <c r="F42" s="7" t="inlineStr">
        <is>
          <t>PAYMENT_MISMATCH</t>
        </is>
      </c>
      <c r="G42" s="8" t="n">
        <v>23.6</v>
      </c>
      <c r="H42" s="9">
        <f>IF(ISBLANK(MIS!O42),0,MIS!O42)</f>
        <v/>
      </c>
      <c r="I42" s="9">
        <f>IF(G42="","",ROUND(G42-H42,2))</f>
        <v/>
      </c>
      <c r="J42" s="7">
        <f>IF(G42="","",IF(I42&lt;-1,"Overcharged",IF(I42&gt;1,"Undercharged","Within tolerance")))</f>
        <v/>
      </c>
      <c r="K42" s="9" t="n"/>
      <c r="L42" s="7" t="inlineStr"/>
      <c r="M42" s="10" t="n"/>
      <c r="N42" s="10" t="n"/>
    </row>
    <row r="43">
      <c r="A43" s="5" t="inlineStr">
        <is>
          <t>MTC-042</t>
        </is>
      </c>
      <c r="B43" s="6" t="inlineStr">
        <is>
          <t>88800000000042</t>
        </is>
      </c>
      <c r="C43" s="7" t="inlineStr">
        <is>
          <t>Payment: MIS says PREPAID, shipment says COD</t>
        </is>
      </c>
      <c r="D43" s="7" t="inlineStr">
        <is>
          <t>Payment mismatch (reverse)</t>
        </is>
      </c>
      <c r="E43" s="7" t="inlineStr">
        <is>
          <t>Shipment_Test_Data.xlsx</t>
        </is>
      </c>
      <c r="F43" s="7" t="inlineStr">
        <is>
          <t>PAYMENT_MISMATCH</t>
        </is>
      </c>
      <c r="G43" s="8" t="n">
        <v>43.66</v>
      </c>
      <c r="H43" s="9">
        <f>IF(ISBLANK(MIS!O43),0,MIS!O43)</f>
        <v/>
      </c>
      <c r="I43" s="9">
        <f>IF(G43="","",ROUND(G43-H43,2))</f>
        <v/>
      </c>
      <c r="J43" s="7">
        <f>IF(G43="","",IF(I43&lt;-1,"Overcharged",IF(I43&gt;1,"Undercharged","Within tolerance")))</f>
        <v/>
      </c>
      <c r="K43" s="9" t="n"/>
      <c r="L43" s="7" t="inlineStr"/>
      <c r="M43" s="10" t="n"/>
      <c r="N43" s="10" t="n"/>
    </row>
    <row r="44">
      <c r="A44" s="5" t="inlineStr">
        <is>
          <t>MTC-043</t>
        </is>
      </c>
      <c r="B44" s="6" t="inlineStr">
        <is>
          <t>88800000000043</t>
        </is>
      </c>
      <c r="C44" s="7" t="inlineStr">
        <is>
          <t>Status: MIS Delivered, shipment in_transit</t>
        </is>
      </c>
      <c r="D44" s="7" t="inlineStr">
        <is>
          <t>Status mismatch</t>
        </is>
      </c>
      <c r="E44" s="7" t="inlineStr">
        <is>
          <t>Shipment_Test_Data.xlsx</t>
        </is>
      </c>
      <c r="F44" s="7" t="inlineStr">
        <is>
          <t>STATUS_MISMATCH</t>
        </is>
      </c>
      <c r="G44" s="8" t="n">
        <v>23.6</v>
      </c>
      <c r="H44" s="9">
        <f>IF(ISBLANK(MIS!O44),0,MIS!O44)</f>
        <v/>
      </c>
      <c r="I44" s="9">
        <f>IF(G44="","",ROUND(G44-H44,2))</f>
        <v/>
      </c>
      <c r="J44" s="7">
        <f>IF(G44="","",IF(I44&lt;-1,"Overcharged",IF(I44&gt;1,"Undercharged","Within tolerance")))</f>
        <v/>
      </c>
      <c r="K44" s="9" t="n"/>
      <c r="L44" s="7" t="inlineStr"/>
      <c r="M44" s="10" t="n"/>
      <c r="N44" s="10" t="n"/>
    </row>
    <row r="45">
      <c r="A45" s="5" t="inlineStr">
        <is>
          <t>MTC-044</t>
        </is>
      </c>
      <c r="B45" s="6" t="inlineStr">
        <is>
          <t>88800000000044</t>
        </is>
      </c>
      <c r="C45" s="7" t="inlineStr">
        <is>
          <t>Status: MIS RTO, shipment delivered</t>
        </is>
      </c>
      <c r="D45" s="7" t="inlineStr">
        <is>
          <t>Status mismatch</t>
        </is>
      </c>
      <c r="E45" s="7" t="inlineStr">
        <is>
          <t>Shipment_Test_Data.xlsx</t>
        </is>
      </c>
      <c r="F45" s="7" t="inlineStr">
        <is>
          <t>STATUS_MISMATCH</t>
        </is>
      </c>
      <c r="G45" s="8" t="n">
        <v>25.96</v>
      </c>
      <c r="H45" s="9">
        <f>IF(ISBLANK(MIS!O45),0,MIS!O45)</f>
        <v/>
      </c>
      <c r="I45" s="9">
        <f>IF(G45="","",ROUND(G45-H45,2))</f>
        <v/>
      </c>
      <c r="J45" s="7">
        <f>IF(G45="","",IF(I45&lt;-1,"Overcharged",IF(I45&gt;1,"Undercharged","Within tolerance")))</f>
        <v/>
      </c>
      <c r="K45" s="9" t="n"/>
      <c r="L45" s="7" t="inlineStr"/>
      <c r="M45" s="10" t="n"/>
      <c r="N45" s="10" t="n"/>
    </row>
    <row r="46">
      <c r="A46" s="5" t="inlineStr">
        <is>
          <t>MTC-045</t>
        </is>
      </c>
      <c r="B46" s="6" t="inlineStr">
        <is>
          <t>88800000000045</t>
        </is>
      </c>
      <c r="C46" s="7" t="inlineStr">
        <is>
          <t>Status: MIS Delivered, shipment return_delivered</t>
        </is>
      </c>
      <c r="D46" s="7" t="inlineStr">
        <is>
          <t>return_delivered is not 'delivered'</t>
        </is>
      </c>
      <c r="E46" s="7" t="inlineStr">
        <is>
          <t>Shipment_Test_Data.xlsx</t>
        </is>
      </c>
      <c r="F46" s="7" t="inlineStr">
        <is>
          <t>STATUS_MISMATCH</t>
        </is>
      </c>
      <c r="G46" s="8" t="n">
        <v>66.08</v>
      </c>
      <c r="H46" s="9">
        <f>IF(ISBLANK(MIS!O46),0,MIS!O46)</f>
        <v/>
      </c>
      <c r="I46" s="9">
        <f>IF(G46="","",ROUND(G46-H46,2))</f>
        <v/>
      </c>
      <c r="J46" s="7">
        <f>IF(G46="","",IF(I46&lt;-1,"Overcharged",IF(I46&gt;1,"Undercharged","Within tolerance")))</f>
        <v/>
      </c>
      <c r="K46" s="9" t="n"/>
      <c r="L46" s="7" t="inlineStr">
        <is>
          <t>Freight is calculated as RTO because return_delivered counts as returned.</t>
        </is>
      </c>
      <c r="M46" s="10" t="n"/>
      <c r="N46" s="10" t="n"/>
    </row>
    <row r="47">
      <c r="A47" s="5" t="inlineStr">
        <is>
          <t>MTC-046</t>
        </is>
      </c>
      <c r="B47" s="6" t="inlineStr">
        <is>
          <t>88800000000046</t>
        </is>
      </c>
      <c r="C47" s="7" t="inlineStr">
        <is>
          <t>Zone: MIS says A, calculated zone is C</t>
        </is>
      </c>
      <c r="D47" s="7" t="inlineStr">
        <is>
          <t>Zone mismatch</t>
        </is>
      </c>
      <c r="E47" s="7" t="inlineStr">
        <is>
          <t>Shipment_Test_Data.xlsx</t>
        </is>
      </c>
      <c r="F47" s="7" t="inlineStr">
        <is>
          <t>ZONE_MISMATCH</t>
        </is>
      </c>
      <c r="G47" s="8" t="n">
        <v>34.22</v>
      </c>
      <c r="H47" s="9">
        <f>IF(ISBLANK(MIS!O47),0,MIS!O47)</f>
        <v/>
      </c>
      <c r="I47" s="9">
        <f>IF(G47="","",ROUND(G47-H47,2))</f>
        <v/>
      </c>
      <c r="J47" s="7">
        <f>IF(G47="","",IF(I47&lt;-1,"Overcharged",IF(I47&gt;1,"Undercharged","Within tolerance")))</f>
        <v/>
      </c>
      <c r="K47" s="9" t="n"/>
      <c r="L47" s="7" t="inlineStr"/>
      <c r="M47" s="10" t="n"/>
      <c r="N47" s="10" t="n"/>
    </row>
    <row r="48">
      <c r="A48" s="5" t="inlineStr">
        <is>
          <t>MTC-047</t>
        </is>
      </c>
      <c r="B48" s="6" t="inlineStr">
        <is>
          <t>88800000000047</t>
        </is>
      </c>
      <c r="C48" s="7" t="inlineStr">
        <is>
          <t>Zone: MIS says E, calculated zone is B</t>
        </is>
      </c>
      <c r="D48" s="7" t="inlineStr">
        <is>
          <t>Zone mismatch</t>
        </is>
      </c>
      <c r="E48" s="7" t="inlineStr">
        <is>
          <t>Shipment_Test_Data.xlsx</t>
        </is>
      </c>
      <c r="F48" s="7" t="inlineStr">
        <is>
          <t>ZONE_MISMATCH</t>
        </is>
      </c>
      <c r="G48" s="8" t="n">
        <v>25.96</v>
      </c>
      <c r="H48" s="9">
        <f>IF(ISBLANK(MIS!O48),0,MIS!O48)</f>
        <v/>
      </c>
      <c r="I48" s="9">
        <f>IF(G48="","",ROUND(G48-H48,2))</f>
        <v/>
      </c>
      <c r="J48" s="7">
        <f>IF(G48="","",IF(I48&lt;-1,"Overcharged",IF(I48&gt;1,"Undercharged","Within tolerance")))</f>
        <v/>
      </c>
      <c r="K48" s="9" t="n"/>
      <c r="L48" s="7" t="inlineStr"/>
      <c r="M48" s="10" t="n"/>
      <c r="N48" s="10" t="n"/>
    </row>
    <row r="49">
      <c r="A49" s="5" t="inlineStr">
        <is>
          <t>MTC-048</t>
        </is>
      </c>
      <c r="B49" s="6" t="inlineStr">
        <is>
          <t>88800000000048</t>
        </is>
      </c>
      <c r="C49" s="7" t="inlineStr">
        <is>
          <t>Weight: MIS 0.5 kg, shipment 600 g</t>
        </is>
      </c>
      <c r="D49" s="7" t="inlineStr">
        <is>
          <t>Weight slab mismatch</t>
        </is>
      </c>
      <c r="E49" s="7" t="inlineStr">
        <is>
          <t>Shipment_Test_Data.xlsx</t>
        </is>
      </c>
      <c r="F49" s="7" t="inlineStr">
        <is>
          <t>WEIGHT_MISMATCH</t>
        </is>
      </c>
      <c r="G49" s="8" t="n">
        <v>47.2</v>
      </c>
      <c r="H49" s="9">
        <f>IF(ISBLANK(MIS!O49),0,MIS!O49)</f>
        <v/>
      </c>
      <c r="I49" s="9">
        <f>IF(G49="","",ROUND(G49-H49,2))</f>
        <v/>
      </c>
      <c r="J49" s="7">
        <f>IF(G49="","",IF(I49&lt;-1,"Overcharged",IF(I49&gt;1,"Undercharged","Within tolerance")))</f>
        <v/>
      </c>
      <c r="K49" s="9" t="n"/>
      <c r="L49" s="7" t="inlineStr"/>
      <c r="M49" s="10" t="n"/>
      <c r="N49" s="10" t="n"/>
    </row>
    <row r="50">
      <c r="A50" s="5" t="inlineStr">
        <is>
          <t>MTC-049</t>
        </is>
      </c>
      <c r="B50" s="6" t="inlineStr">
        <is>
          <t>88800000000049</t>
        </is>
      </c>
      <c r="C50" s="7" t="inlineStr">
        <is>
          <t>Weight: MIS 0.5 kg, shipment 2.5 kg</t>
        </is>
      </c>
      <c r="D50" s="7" t="inlineStr">
        <is>
          <t>Weight slab mismatch (large)</t>
        </is>
      </c>
      <c r="E50" s="7" t="inlineStr">
        <is>
          <t>Shipment_Test_Data.xlsx</t>
        </is>
      </c>
      <c r="F50" s="7" t="inlineStr">
        <is>
          <t>WEIGHT_MISMATCH</t>
        </is>
      </c>
      <c r="G50" s="8" t="n">
        <v>129.8</v>
      </c>
      <c r="H50" s="9">
        <f>IF(ISBLANK(MIS!O50),0,MIS!O50)</f>
        <v/>
      </c>
      <c r="I50" s="9">
        <f>IF(G50="","",ROUND(G50-H50,2))</f>
        <v/>
      </c>
      <c r="J50" s="7">
        <f>IF(G50="","",IF(I50&lt;-1,"Overcharged",IF(I50&gt;1,"Undercharged","Within tolerance")))</f>
        <v/>
      </c>
      <c r="K50" s="9" t="n"/>
      <c r="L50" s="7" t="inlineStr"/>
      <c r="M50" s="10" t="n"/>
      <c r="N50" s="10" t="n"/>
    </row>
    <row r="51">
      <c r="A51" s="5" t="inlineStr">
        <is>
          <t>MTC-050</t>
        </is>
      </c>
      <c r="B51" s="6" t="inlineStr">
        <is>
          <t>88800000000050</t>
        </is>
      </c>
      <c r="C51" s="7" t="inlineStr">
        <is>
          <t>Weight: 501 g against MIS 0.5 kg</t>
        </is>
      </c>
      <c r="D51" s="7" t="inlineStr">
        <is>
          <t>Boundary: 501 g = 2 slabs</t>
        </is>
      </c>
      <c r="E51" s="7" t="inlineStr">
        <is>
          <t>Shipment_Test_Data.xlsx</t>
        </is>
      </c>
      <c r="F51" s="7" t="inlineStr">
        <is>
          <t>WEIGHT_MISMATCH</t>
        </is>
      </c>
      <c r="G51" s="8" t="n">
        <v>68.44</v>
      </c>
      <c r="H51" s="9">
        <f>IF(ISBLANK(MIS!O51),0,MIS!O51)</f>
        <v/>
      </c>
      <c r="I51" s="9">
        <f>IF(G51="","",ROUND(G51-H51,2))</f>
        <v/>
      </c>
      <c r="J51" s="7">
        <f>IF(G51="","",IF(I51&lt;-1,"Overcharged",IF(I51&gt;1,"Undercharged","Within tolerance")))</f>
        <v/>
      </c>
      <c r="K51" s="9" t="n"/>
      <c r="L51" s="7" t="inlineStr"/>
      <c r="M51" s="10" t="n"/>
      <c r="N51" s="10" t="n"/>
    </row>
    <row r="52">
      <c r="A52" s="5" t="inlineStr">
        <is>
          <t>MTC-051</t>
        </is>
      </c>
      <c r="B52" s="6" t="inlineStr">
        <is>
          <t>88800000000051</t>
        </is>
      </c>
      <c r="C52" s="7" t="inlineStr">
        <is>
          <t>Weight: MIS 1.5 kg, shipment 400 g</t>
        </is>
      </c>
      <c r="D52" s="7" t="inlineStr">
        <is>
          <t>Kwikship weight higher than actual</t>
        </is>
      </c>
      <c r="E52" s="7" t="inlineStr">
        <is>
          <t>Shipment_Test_Data.xlsx</t>
        </is>
      </c>
      <c r="F52" s="7" t="inlineStr">
        <is>
          <t>WEIGHT_MISMATCH</t>
        </is>
      </c>
      <c r="G52" s="8" t="n">
        <v>38.94</v>
      </c>
      <c r="H52" s="9">
        <f>IF(ISBLANK(MIS!O52),0,MIS!O52)</f>
        <v/>
      </c>
      <c r="I52" s="9">
        <f>IF(G52="","",ROUND(G52-H52,2))</f>
        <v/>
      </c>
      <c r="J52" s="7">
        <f>IF(G52="","",IF(I52&lt;-1,"Overcharged",IF(I52&gt;1,"Undercharged","Within tolerance")))</f>
        <v/>
      </c>
      <c r="K52" s="9" t="n"/>
      <c r="L52" s="7" t="inlineStr">
        <is>
          <t>Kwikship billed 3 slabs, actual is 1 slab: overcharge.</t>
        </is>
      </c>
      <c r="M52" s="10" t="n"/>
      <c r="N52" s="10" t="n"/>
    </row>
    <row r="53">
      <c r="A53" s="5" t="inlineStr">
        <is>
          <t>MTC-052</t>
        </is>
      </c>
      <c r="B53" s="6" t="inlineStr">
        <is>
          <t>88800000000052</t>
        </is>
      </c>
      <c r="C53" s="7" t="inlineStr">
        <is>
          <t>Priority: payment + status + zone + weight all wrong</t>
        </is>
      </c>
      <c r="D53" s="7" t="inlineStr">
        <is>
          <t>Payment mismatch wins</t>
        </is>
      </c>
      <c r="E53" s="7" t="inlineStr">
        <is>
          <t>Shipment_Test_Data.xlsx</t>
        </is>
      </c>
      <c r="F53" s="7" t="inlineStr">
        <is>
          <t>PAYMENT_MISMATCH</t>
        </is>
      </c>
      <c r="G53" s="8" t="n">
        <v>102.66</v>
      </c>
      <c r="H53" s="9">
        <f>IF(ISBLANK(MIS!O53),0,MIS!O53)</f>
        <v/>
      </c>
      <c r="I53" s="9">
        <f>IF(G53="","",ROUND(G53-H53,2))</f>
        <v/>
      </c>
      <c r="J53" s="7">
        <f>IF(G53="","",IF(I53&lt;-1,"Overcharged",IF(I53&gt;1,"Undercharged","Within tolerance")))</f>
        <v/>
      </c>
      <c r="K53" s="9" t="n"/>
      <c r="L53" s="7" t="inlineStr"/>
      <c r="M53" s="10" t="n"/>
      <c r="N53" s="10" t="n"/>
    </row>
    <row r="54">
      <c r="A54" s="5" t="inlineStr">
        <is>
          <t>MTC-053</t>
        </is>
      </c>
      <c r="B54" s="6" t="inlineStr">
        <is>
          <t>88800000000053</t>
        </is>
      </c>
      <c r="C54" s="7" t="inlineStr">
        <is>
          <t>Priority: status + zone + weight wrong</t>
        </is>
      </c>
      <c r="D54" s="7" t="inlineStr">
        <is>
          <t>Status mismatch wins</t>
        </is>
      </c>
      <c r="E54" s="7" t="inlineStr">
        <is>
          <t>Shipment_Test_Data.xlsx</t>
        </is>
      </c>
      <c r="F54" s="7" t="inlineStr">
        <is>
          <t>STATUS_MISMATCH</t>
        </is>
      </c>
      <c r="G54" s="8" t="n">
        <v>77.88</v>
      </c>
      <c r="H54" s="9">
        <f>IF(ISBLANK(MIS!O54),0,MIS!O54)</f>
        <v/>
      </c>
      <c r="I54" s="9">
        <f>IF(G54="","",ROUND(G54-H54,2))</f>
        <v/>
      </c>
      <c r="J54" s="7">
        <f>IF(G54="","",IF(I54&lt;-1,"Overcharged",IF(I54&gt;1,"Undercharged","Within tolerance")))</f>
        <v/>
      </c>
      <c r="K54" s="9" t="n"/>
      <c r="L54" s="7" t="inlineStr"/>
      <c r="M54" s="10" t="n"/>
      <c r="N54" s="10" t="n"/>
    </row>
    <row r="55">
      <c r="A55" s="5" t="inlineStr">
        <is>
          <t>MTC-054</t>
        </is>
      </c>
      <c r="B55" s="6" t="inlineStr">
        <is>
          <t>88800000000054</t>
        </is>
      </c>
      <c r="C55" s="7" t="inlineStr">
        <is>
          <t>Priority: zone + weight wrong</t>
        </is>
      </c>
      <c r="D55" s="7" t="inlineStr">
        <is>
          <t>Zone mismatch wins</t>
        </is>
      </c>
      <c r="E55" s="7" t="inlineStr">
        <is>
          <t>Shipment_Test_Data.xlsx</t>
        </is>
      </c>
      <c r="F55" s="7" t="inlineStr">
        <is>
          <t>ZONE_MISMATCH</t>
        </is>
      </c>
      <c r="G55" s="8" t="n">
        <v>116.82</v>
      </c>
      <c r="H55" s="9">
        <f>IF(ISBLANK(MIS!O55),0,MIS!O55)</f>
        <v/>
      </c>
      <c r="I55" s="9">
        <f>IF(G55="","",ROUND(G55-H55,2))</f>
        <v/>
      </c>
      <c r="J55" s="7">
        <f>IF(G55="","",IF(I55&lt;-1,"Overcharged",IF(I55&gt;1,"Undercharged","Within tolerance")))</f>
        <v/>
      </c>
      <c r="K55" s="9" t="n"/>
      <c r="L55" s="7" t="inlineStr"/>
      <c r="M55" s="10" t="n"/>
      <c r="N55" s="10" t="n"/>
    </row>
    <row r="56">
      <c r="A56" s="5" t="inlineStr">
        <is>
          <t>MTC-055</t>
        </is>
      </c>
      <c r="B56" s="6" t="inlineStr">
        <is>
          <t>88800000000055</t>
        </is>
      </c>
      <c r="C56" s="7" t="inlineStr">
        <is>
          <t>Priority: weight + freight wrong</t>
        </is>
      </c>
      <c r="D56" s="7" t="inlineStr">
        <is>
          <t>Weight mismatch wins</t>
        </is>
      </c>
      <c r="E56" s="7" t="inlineStr">
        <is>
          <t>Shipment_Test_Data.xlsx</t>
        </is>
      </c>
      <c r="F56" s="7" t="inlineStr">
        <is>
          <t>WEIGHT_MISMATCH</t>
        </is>
      </c>
      <c r="G56" s="8" t="n">
        <v>70.8</v>
      </c>
      <c r="H56" s="9">
        <f>IF(ISBLANK(MIS!O56),0,MIS!O56)</f>
        <v/>
      </c>
      <c r="I56" s="9">
        <f>IF(G56="","",ROUND(G56-H56,2))</f>
        <v/>
      </c>
      <c r="J56" s="7">
        <f>IF(G56="","",IF(I56&lt;-1,"Overcharged",IF(I56&gt;1,"Undercharged","Within tolerance")))</f>
        <v/>
      </c>
      <c r="K56" s="9" t="n"/>
      <c r="L56" s="7" t="inlineStr"/>
      <c r="M56" s="10" t="n"/>
      <c r="N56" s="10" t="n"/>
    </row>
    <row r="57">
      <c r="A57" s="5" t="inlineStr">
        <is>
          <t>MTC-056</t>
        </is>
      </c>
      <c r="B57" s="6" t="inlineStr">
        <is>
          <t>88800000000056</t>
        </is>
      </c>
      <c r="C57" s="7" t="inlineStr">
        <is>
          <t>Shipment lost</t>
        </is>
      </c>
      <c r="D57" s="7" t="inlineStr">
        <is>
          <t>LOST: claim order value</t>
        </is>
      </c>
      <c r="E57" s="7" t="inlineStr">
        <is>
          <t>Shipment_Test_Data.xlsx</t>
        </is>
      </c>
      <c r="F57" s="7" t="inlineStr">
        <is>
          <t>LOST</t>
        </is>
      </c>
      <c r="G57" s="8" t="n"/>
      <c r="H57" s="9">
        <f>IF(ISBLANK(MIS!O57),0,MIS!O57)</f>
        <v/>
      </c>
      <c r="I57" s="9">
        <f>IF(G57="","",ROUND(G57-H57,2))</f>
        <v/>
      </c>
      <c r="J57" s="7">
        <f>IF(G57="","",IF(I57&lt;-1,"Overcharged",IF(I57&gt;1,"Undercharged","Within tolerance")))</f>
        <v/>
      </c>
      <c r="K57" s="9" t="n">
        <v>1250</v>
      </c>
      <c r="L57" s="7" t="inlineStr"/>
      <c r="M57" s="10" t="n"/>
      <c r="N57" s="10" t="n"/>
    </row>
    <row r="58">
      <c r="A58" s="5" t="inlineStr">
        <is>
          <t>MTC-057</t>
        </is>
      </c>
      <c r="B58" s="6" t="inlineStr">
        <is>
          <t>88800000000057</t>
        </is>
      </c>
      <c r="C58" s="7" t="inlineStr">
        <is>
          <t>Shipment rto_initiated</t>
        </is>
      </c>
      <c r="D58" s="7" t="inlineStr">
        <is>
          <t>LOST: stuck RTO</t>
        </is>
      </c>
      <c r="E58" s="7" t="inlineStr">
        <is>
          <t>Shipment_Test_Data.xlsx</t>
        </is>
      </c>
      <c r="F58" s="7" t="inlineStr">
        <is>
          <t>LOST</t>
        </is>
      </c>
      <c r="G58" s="8" t="n"/>
      <c r="H58" s="9">
        <f>IF(ISBLANK(MIS!O58),0,MIS!O58)</f>
        <v/>
      </c>
      <c r="I58" s="9">
        <f>IF(G58="","",ROUND(G58-H58,2))</f>
        <v/>
      </c>
      <c r="J58" s="7">
        <f>IF(G58="","",IF(I58&lt;-1,"Overcharged",IF(I58&gt;1,"Undercharged","Within tolerance")))</f>
        <v/>
      </c>
      <c r="K58" s="9" t="n">
        <v>899</v>
      </c>
      <c r="L58" s="7" t="inlineStr"/>
      <c r="M58" s="10" t="n"/>
      <c r="N58" s="10" t="n"/>
    </row>
    <row r="59">
      <c r="A59" s="5" t="inlineStr">
        <is>
          <t>MTC-058</t>
        </is>
      </c>
      <c r="B59" s="6" t="inlineStr">
        <is>
          <t>88800000000058</t>
        </is>
      </c>
      <c r="C59" s="7" t="inlineStr">
        <is>
          <t>Shipment rto_in_transit</t>
        </is>
      </c>
      <c r="D59" s="7" t="inlineStr">
        <is>
          <t>LOST: stuck RTO</t>
        </is>
      </c>
      <c r="E59" s="7" t="inlineStr">
        <is>
          <t>Shipment_Test_Data.xlsx</t>
        </is>
      </c>
      <c r="F59" s="7" t="inlineStr">
        <is>
          <t>LOST</t>
        </is>
      </c>
      <c r="G59" s="8" t="n"/>
      <c r="H59" s="9">
        <f>IF(ISBLANK(MIS!O59),0,MIS!O59)</f>
        <v/>
      </c>
      <c r="I59" s="9">
        <f>IF(G59="","",ROUND(G59-H59,2))</f>
        <v/>
      </c>
      <c r="J59" s="7">
        <f>IF(G59="","",IF(I59&lt;-1,"Overcharged",IF(I59&gt;1,"Undercharged","Within tolerance")))</f>
        <v/>
      </c>
      <c r="K59" s="9" t="n">
        <v>649</v>
      </c>
      <c r="L59" s="7" t="inlineStr"/>
      <c r="M59" s="10" t="n"/>
      <c r="N59" s="10" t="n"/>
    </row>
    <row r="60">
      <c r="A60" s="5" t="inlineStr">
        <is>
          <t>MTC-059</t>
        </is>
      </c>
      <c r="B60" s="6" t="inlineStr">
        <is>
          <t>88800000000059</t>
        </is>
      </c>
      <c r="C60" s="7" t="inlineStr">
        <is>
          <t>Shipment rto_ndr</t>
        </is>
      </c>
      <c r="D60" s="7" t="inlineStr">
        <is>
          <t>LOST: stuck RTO</t>
        </is>
      </c>
      <c r="E60" s="7" t="inlineStr">
        <is>
          <t>Shipment_Test_Data.xlsx</t>
        </is>
      </c>
      <c r="F60" s="7" t="inlineStr">
        <is>
          <t>LOST</t>
        </is>
      </c>
      <c r="G60" s="8" t="n"/>
      <c r="H60" s="9">
        <f>IF(ISBLANK(MIS!O60),0,MIS!O60)</f>
        <v/>
      </c>
      <c r="I60" s="9">
        <f>IF(G60="","",ROUND(G60-H60,2))</f>
        <v/>
      </c>
      <c r="J60" s="7">
        <f>IF(G60="","",IF(I60&lt;-1,"Overcharged",IF(I60&gt;1,"Undercharged","Within tolerance")))</f>
        <v/>
      </c>
      <c r="K60" s="9" t="n">
        <v>1100</v>
      </c>
      <c r="L60" s="7" t="inlineStr"/>
      <c r="M60" s="10" t="n"/>
      <c r="N60" s="10" t="n"/>
    </row>
    <row r="61">
      <c r="A61" s="5" t="inlineStr">
        <is>
          <t>MTC-060</t>
        </is>
      </c>
      <c r="B61" s="6" t="inlineStr">
        <is>
          <t>88800000000060</t>
        </is>
      </c>
      <c r="C61" s="7" t="inlineStr">
        <is>
          <t>Shipment rto_cancelled</t>
        </is>
      </c>
      <c r="D61" s="7" t="inlineStr">
        <is>
          <t>LOST: stuck RTO</t>
        </is>
      </c>
      <c r="E61" s="7" t="inlineStr">
        <is>
          <t>Shipment_Test_Data.xlsx</t>
        </is>
      </c>
      <c r="F61" s="7" t="inlineStr">
        <is>
          <t>LOST</t>
        </is>
      </c>
      <c r="G61" s="8" t="n"/>
      <c r="H61" s="9">
        <f>IF(ISBLANK(MIS!O61),0,MIS!O61)</f>
        <v/>
      </c>
      <c r="I61" s="9">
        <f>IF(G61="","",ROUND(G61-H61,2))</f>
        <v/>
      </c>
      <c r="J61" s="7">
        <f>IF(G61="","",IF(I61&lt;-1,"Overcharged",IF(I61&gt;1,"Undercharged","Within tolerance")))</f>
        <v/>
      </c>
      <c r="K61" s="9" t="n">
        <v>720</v>
      </c>
      <c r="L61" s="7" t="inlineStr"/>
      <c r="M61" s="10" t="n"/>
      <c r="N61" s="10" t="n"/>
    </row>
    <row r="62">
      <c r="A62" s="5" t="inlineStr">
        <is>
          <t>MTC-061</t>
        </is>
      </c>
      <c r="B62" s="6" t="inlineStr">
        <is>
          <t>88800000000061</t>
        </is>
      </c>
      <c r="C62" s="7" t="inlineStr">
        <is>
          <t>Lost shipment with blank Order Value</t>
        </is>
      </c>
      <c r="D62" s="7" t="inlineStr">
        <is>
          <t>LOST with no claim amount</t>
        </is>
      </c>
      <c r="E62" s="7" t="inlineStr">
        <is>
          <t>Shipment_Test_Data.xlsx</t>
        </is>
      </c>
      <c r="F62" s="7" t="inlineStr">
        <is>
          <t>LOST</t>
        </is>
      </c>
      <c r="G62" s="8" t="n"/>
      <c r="H62" s="9">
        <f>IF(ISBLANK(MIS!O62),0,MIS!O62)</f>
        <v/>
      </c>
      <c r="I62" s="9">
        <f>IF(G62="","",ROUND(G62-H62,2))</f>
        <v/>
      </c>
      <c r="J62" s="7">
        <f>IF(G62="","",IF(I62&lt;-1,"Overcharged",IF(I62&gt;1,"Undercharged","Within tolerance")))</f>
        <v/>
      </c>
      <c r="K62" s="9" t="n">
        <v>0</v>
      </c>
      <c r="L62" s="7" t="inlineStr"/>
      <c r="M62" s="10" t="n"/>
      <c r="N62" s="10" t="n"/>
    </row>
    <row r="63">
      <c r="A63" s="5" t="inlineStr">
        <is>
          <t>MTC-062</t>
        </is>
      </c>
      <c r="B63" s="6" t="inlineStr">
        <is>
          <t>88800000000062</t>
        </is>
      </c>
      <c r="C63" s="7" t="inlineStr">
        <is>
          <t>Lost shipment while MIS says Delivered</t>
        </is>
      </c>
      <c r="D63" s="7" t="inlineStr">
        <is>
          <t>LOST beats status mismatch</t>
        </is>
      </c>
      <c r="E63" s="7" t="inlineStr">
        <is>
          <t>Shipment_Test_Data.xlsx</t>
        </is>
      </c>
      <c r="F63" s="7" t="inlineStr">
        <is>
          <t>LOST</t>
        </is>
      </c>
      <c r="G63" s="8" t="n"/>
      <c r="H63" s="9">
        <f>IF(ISBLANK(MIS!O63),0,MIS!O63)</f>
        <v/>
      </c>
      <c r="I63" s="9">
        <f>IF(G63="","",ROUND(G63-H63,2))</f>
        <v/>
      </c>
      <c r="J63" s="7">
        <f>IF(G63="","",IF(I63&lt;-1,"Overcharged",IF(I63&gt;1,"Undercharged","Within tolerance")))</f>
        <v/>
      </c>
      <c r="K63" s="9" t="n">
        <v>980</v>
      </c>
      <c r="L63" s="7" t="inlineStr"/>
      <c r="M63" s="10" t="n"/>
      <c r="N63" s="10" t="n"/>
    </row>
    <row r="64">
      <c r="A64" s="5" t="inlineStr">
        <is>
          <t>MTC-063</t>
        </is>
      </c>
      <c r="B64" s="6" t="inlineStr">
        <is>
          <t>88800000000063</t>
        </is>
      </c>
      <c r="C64" s="7" t="inlineStr">
        <is>
          <t>Lost shipment with blank MIS Mode</t>
        </is>
      </c>
      <c r="D64" s="7" t="inlineStr">
        <is>
          <t>LOST is decided before Mode is needed</t>
        </is>
      </c>
      <c r="E64" s="7" t="inlineStr">
        <is>
          <t>Shipment_Test_Data.xlsx</t>
        </is>
      </c>
      <c r="F64" s="7" t="inlineStr">
        <is>
          <t>LOST</t>
        </is>
      </c>
      <c r="G64" s="8" t="n"/>
      <c r="H64" s="9">
        <f>IF(ISBLANK(MIS!O64),0,MIS!O64)</f>
        <v/>
      </c>
      <c r="I64" s="9">
        <f>IF(G64="","",ROUND(G64-H64,2))</f>
        <v/>
      </c>
      <c r="J64" s="7">
        <f>IF(G64="","",IF(I64&lt;-1,"Overcharged",IF(I64&gt;1,"Undercharged","Within tolerance")))</f>
        <v/>
      </c>
      <c r="K64" s="9" t="n">
        <v>540</v>
      </c>
      <c r="L64" s="7" t="inlineStr"/>
      <c r="M64" s="10" t="n"/>
      <c r="N64" s="10" t="n"/>
    </row>
    <row r="65">
      <c r="A65" s="5" t="inlineStr">
        <is>
          <t>MTC-064</t>
        </is>
      </c>
      <c r="B65" s="6" t="inlineStr">
        <is>
          <t>88800000000064</t>
        </is>
      </c>
      <c r="C65" s="7" t="inlineStr">
        <is>
          <t>Lost shipment with an unmapped destination pincode</t>
        </is>
      </c>
      <c r="D65" s="7" t="inlineStr">
        <is>
          <t>Zone lookup happens before the LOST check</t>
        </is>
      </c>
      <c r="E65" s="7" t="inlineStr">
        <is>
          <t>Shipment_Test_Data.xlsx</t>
        </is>
      </c>
      <c r="F65" s="7" t="inlineStr">
        <is>
          <t>ZONE_NOT_FOUND</t>
        </is>
      </c>
      <c r="G65" s="8" t="n"/>
      <c r="H65" s="9">
        <f>IF(ISBLANK(MIS!O65),0,MIS!O65)</f>
        <v/>
      </c>
      <c r="I65" s="9">
        <f>IF(G65="","",ROUND(G65-H65,2))</f>
        <v/>
      </c>
      <c r="J65" s="7">
        <f>IF(G65="","",IF(I65&lt;-1,"Overcharged",IF(I65&gt;1,"Undercharged","Within tolerance")))</f>
        <v/>
      </c>
      <c r="K65" s="9" t="n"/>
      <c r="L65" s="7" t="inlineStr">
        <is>
          <t>Zone cannot be resolved, so the row stops at ZONE_NOT_FOUND and is not counted as LOST.</t>
        </is>
      </c>
      <c r="M65" s="10" t="n"/>
      <c r="N65" s="10" t="n"/>
    </row>
    <row r="66">
      <c r="A66" s="5" t="inlineStr">
        <is>
          <t>MTC-065</t>
        </is>
      </c>
      <c r="B66" s="6" t="inlineStr">
        <is>
          <t>88800000000065</t>
        </is>
      </c>
      <c r="C66" s="7" t="inlineStr">
        <is>
          <t>AWB is not in the shipment data</t>
        </is>
      </c>
      <c r="D66" s="7" t="inlineStr">
        <is>
          <t>NO_API_DATA</t>
        </is>
      </c>
      <c r="E66" s="7" t="inlineStr">
        <is>
          <t>None - do NOT load this AWB</t>
        </is>
      </c>
      <c r="F66" s="7" t="inlineStr">
        <is>
          <t>NO_API_DATA</t>
        </is>
      </c>
      <c r="G66" s="8" t="n"/>
      <c r="H66" s="9">
        <f>IF(ISBLANK(MIS!O66),0,MIS!O66)</f>
        <v/>
      </c>
      <c r="I66" s="9">
        <f>IF(G66="","",ROUND(G66-H66,2))</f>
        <v/>
      </c>
      <c r="J66" s="7">
        <f>IF(G66="","",IF(I66&lt;-1,"Overcharged",IF(I66&gt;1,"Undercharged","Within tolerance")))</f>
        <v/>
      </c>
      <c r="K66" s="9" t="n"/>
      <c r="L66" s="7" t="inlineStr"/>
      <c r="M66" s="10" t="n"/>
      <c r="N66" s="10" t="n"/>
    </row>
    <row r="67">
      <c r="A67" s="5" t="inlineStr">
        <is>
          <t>MTC-066</t>
        </is>
      </c>
      <c r="B67" s="6" t="inlineStr">
        <is>
          <t>88800000000066</t>
        </is>
      </c>
      <c r="C67" s="7" t="inlineStr">
        <is>
          <t>Destination pincode not in the zone map</t>
        </is>
      </c>
      <c r="D67" s="7" t="inlineStr">
        <is>
          <t>ZONE_NOT_FOUND</t>
        </is>
      </c>
      <c r="E67" s="7" t="inlineStr">
        <is>
          <t>Shipment_Test_Data.xlsx</t>
        </is>
      </c>
      <c r="F67" s="7" t="inlineStr">
        <is>
          <t>ZONE_NOT_FOUND</t>
        </is>
      </c>
      <c r="G67" s="8" t="n"/>
      <c r="H67" s="9">
        <f>IF(ISBLANK(MIS!O67),0,MIS!O67)</f>
        <v/>
      </c>
      <c r="I67" s="9">
        <f>IF(G67="","",ROUND(G67-H67,2))</f>
        <v/>
      </c>
      <c r="J67" s="7">
        <f>IF(G67="","",IF(I67&lt;-1,"Overcharged",IF(I67&gt;1,"Undercharged","Within tolerance")))</f>
        <v/>
      </c>
      <c r="K67" s="9" t="n"/>
      <c r="L67" s="7" t="inlineStr"/>
      <c r="M67" s="10" t="n"/>
      <c r="N67" s="10" t="n"/>
    </row>
    <row r="68">
      <c r="A68" s="5" t="inlineStr">
        <is>
          <t>MTC-067</t>
        </is>
      </c>
      <c r="B68" s="6" t="inlineStr">
        <is>
          <t>88800000000067</t>
        </is>
      </c>
      <c r="C68" s="7" t="inlineStr">
        <is>
          <t>Pickup pincode is not a known hub</t>
        </is>
      </c>
      <c r="D68" s="7" t="inlineStr">
        <is>
          <t>ZONE_NOT_FOUND: unrecognised pickup</t>
        </is>
      </c>
      <c r="E68" s="7" t="inlineStr">
        <is>
          <t>Shipment_Test_Data.xlsx</t>
        </is>
      </c>
      <c r="F68" s="7" t="inlineStr">
        <is>
          <t>ZONE_NOT_FOUND</t>
        </is>
      </c>
      <c r="G68" s="8" t="n"/>
      <c r="H68" s="9">
        <f>IF(ISBLANK(MIS!O68),0,MIS!O68)</f>
        <v/>
      </c>
      <c r="I68" s="9">
        <f>IF(G68="","",ROUND(G68-H68,2))</f>
        <v/>
      </c>
      <c r="J68" s="7">
        <f>IF(G68="","",IF(I68&lt;-1,"Overcharged",IF(I68&gt;1,"Undercharged","Within tolerance")))</f>
        <v/>
      </c>
      <c r="K68" s="9" t="n"/>
      <c r="L68" s="7" t="inlineStr"/>
      <c r="M68" s="10" t="n"/>
      <c r="N68" s="10" t="n"/>
    </row>
    <row r="69">
      <c r="A69" s="5" t="inlineStr">
        <is>
          <t>MTC-068</t>
        </is>
      </c>
      <c r="B69" s="6" t="inlineStr">
        <is>
          <t>88800000000068</t>
        </is>
      </c>
      <c r="C69" s="7" t="inlineStr">
        <is>
          <t>Destination pincode left blank</t>
        </is>
      </c>
      <c r="D69" s="7" t="inlineStr">
        <is>
          <t>ZONE_NOT_FOUND: missing destination</t>
        </is>
      </c>
      <c r="E69" s="7" t="inlineStr">
        <is>
          <t>Shipment_Test_Data.xlsx</t>
        </is>
      </c>
      <c r="F69" s="7" t="inlineStr">
        <is>
          <t>ZONE_NOT_FOUND</t>
        </is>
      </c>
      <c r="G69" s="8" t="n"/>
      <c r="H69" s="9">
        <f>IF(ISBLANK(MIS!O69),0,MIS!O69)</f>
        <v/>
      </c>
      <c r="I69" s="9">
        <f>IF(G69="","",ROUND(G69-H69,2))</f>
        <v/>
      </c>
      <c r="J69" s="7">
        <f>IF(G69="","",IF(I69&lt;-1,"Overcharged",IF(I69&gt;1,"Undercharged","Within tolerance")))</f>
        <v/>
      </c>
      <c r="K69" s="9" t="n"/>
      <c r="L69" s="7" t="inlineStr">
        <is>
          <t>Some builds reject blank pincodes when loading shipments; if the shipment row is skipped this shows NO_API_DATA instead.</t>
        </is>
      </c>
      <c r="M69" s="10" t="n"/>
      <c r="N69" s="10" t="n"/>
    </row>
    <row r="70">
      <c r="A70" s="5" t="inlineStr">
        <is>
          <t>MTC-069</t>
        </is>
      </c>
      <c r="B70" s="6" t="inlineStr">
        <is>
          <t>88800000000069</t>
        </is>
      </c>
      <c r="C70" s="7" t="inlineStr">
        <is>
          <t>MIS Mode left blank</t>
        </is>
      </c>
      <c r="D70" s="7" t="inlineStr">
        <is>
          <t>RATE_NOT_FOUND: no Mode</t>
        </is>
      </c>
      <c r="E70" s="7" t="inlineStr">
        <is>
          <t>Shipment_Test_Data.xlsx</t>
        </is>
      </c>
      <c r="F70" s="7" t="inlineStr">
        <is>
          <t>RATE_NOT_FOUND</t>
        </is>
      </c>
      <c r="G70" s="8" t="n"/>
      <c r="H70" s="9">
        <f>IF(ISBLANK(MIS!O70),0,MIS!O70)</f>
        <v/>
      </c>
      <c r="I70" s="9">
        <f>IF(G70="","",ROUND(G70-H70,2))</f>
        <v/>
      </c>
      <c r="J70" s="7">
        <f>IF(G70="","",IF(I70&lt;-1,"Overcharged",IF(I70&gt;1,"Undercharged","Within tolerance")))</f>
        <v/>
      </c>
      <c r="K70" s="9" t="n"/>
      <c r="L70" s="7" t="inlineStr"/>
      <c r="M70" s="10" t="n"/>
      <c r="N70" s="10" t="n"/>
    </row>
    <row r="71">
      <c r="A71" s="5" t="inlineStr">
        <is>
          <t>MTC-070</t>
        </is>
      </c>
      <c r="B71" s="6" t="inlineStr">
        <is>
          <t>88800000000070</t>
        </is>
      </c>
      <c r="C71" s="7" t="inlineStr">
        <is>
          <t>MIS Mode is an unknown value (ROAD)</t>
        </is>
      </c>
      <c r="D71" s="7" t="inlineStr">
        <is>
          <t>RATE_NOT_FOUND: unknown mode</t>
        </is>
      </c>
      <c r="E71" s="7" t="inlineStr">
        <is>
          <t>Shipment_Test_Data.xlsx</t>
        </is>
      </c>
      <c r="F71" s="7" t="inlineStr">
        <is>
          <t>RATE_NOT_FOUND</t>
        </is>
      </c>
      <c r="G71" s="8" t="n"/>
      <c r="H71" s="9">
        <f>IF(ISBLANK(MIS!O71),0,MIS!O71)</f>
        <v/>
      </c>
      <c r="I71" s="9">
        <f>IF(G71="","",ROUND(G71-H71,2))</f>
        <v/>
      </c>
      <c r="J71" s="7">
        <f>IF(G71="","",IF(I71&lt;-1,"Overcharged",IF(I71&gt;1,"Undercharged","Within tolerance")))</f>
        <v/>
      </c>
      <c r="K71" s="9" t="n"/>
      <c r="L71" s="7" t="inlineStr"/>
      <c r="M71" s="10" t="n"/>
      <c r="N71" s="10" t="n"/>
    </row>
    <row r="72">
      <c r="A72" s="5" t="inlineStr">
        <is>
          <t>MTC-071</t>
        </is>
      </c>
      <c r="B72" s="6" t="inlineStr">
        <is>
          <t>88800000000071</t>
        </is>
      </c>
      <c r="C72" s="7" t="inlineStr">
        <is>
          <t>Bluedart on AIR mode (no Bluedart air rates)</t>
        </is>
      </c>
      <c r="D72" s="7" t="inlineStr">
        <is>
          <t>RATE_NOT_FOUND: missing rate lane</t>
        </is>
      </c>
      <c r="E72" s="7" t="inlineStr">
        <is>
          <t>Shipment_Test_Data.xlsx</t>
        </is>
      </c>
      <c r="F72" s="7" t="inlineStr">
        <is>
          <t>RATE_NOT_FOUND</t>
        </is>
      </c>
      <c r="G72" s="8" t="n"/>
      <c r="H72" s="9">
        <f>IF(ISBLANK(MIS!O72),0,MIS!O72)</f>
        <v/>
      </c>
      <c r="I72" s="9">
        <f>IF(G72="","",ROUND(G72-H72,2))</f>
        <v/>
      </c>
      <c r="J72" s="7">
        <f>IF(G72="","",IF(I72&lt;-1,"Overcharged",IF(I72&gt;1,"Undercharged","Within tolerance")))</f>
        <v/>
      </c>
      <c r="K72" s="9" t="n"/>
      <c r="L72" s="7" t="inlineStr"/>
      <c r="M72" s="10" t="n"/>
      <c r="N72" s="10" t="n"/>
    </row>
    <row r="73">
      <c r="A73" s="5" t="inlineStr">
        <is>
          <t>MTC-072</t>
        </is>
      </c>
      <c r="B73" s="6" t="inlineStr">
        <is>
          <t>88800000000072</t>
        </is>
      </c>
      <c r="C73" s="7" t="inlineStr">
        <is>
          <t>Same AWB appears twice in the MIS file</t>
        </is>
      </c>
      <c r="D73" s="7" t="inlineStr">
        <is>
          <t>Duplicate AWB inside MIS</t>
        </is>
      </c>
      <c r="E73" s="7" t="inlineStr">
        <is>
          <t>Shipment_Test_Data.xlsx</t>
        </is>
      </c>
      <c r="F73" s="7" t="inlineStr">
        <is>
          <t>MATCHED</t>
        </is>
      </c>
      <c r="G73" s="8" t="n">
        <v>25.96</v>
      </c>
      <c r="H73" s="9">
        <f>IF(ISBLANK(MIS!O73),0,MIS!O73)</f>
        <v/>
      </c>
      <c r="I73" s="9">
        <f>IF(G73="","",ROUND(G73-H73,2))</f>
        <v/>
      </c>
      <c r="J73" s="7">
        <f>IF(G73="","",IF(I73&lt;-1,"Overcharged",IF(I73&gt;1,"Undercharged","Within tolerance")))</f>
        <v/>
      </c>
      <c r="K73" s="9" t="n"/>
      <c r="L73" s="7" t="inlineStr">
        <is>
          <t>Two MIS rows share this AWB. Note whether the app shows one or two result rows.</t>
        </is>
      </c>
      <c r="M73" s="10" t="n"/>
      <c r="N73" s="10" t="n"/>
    </row>
    <row r="74">
      <c r="A74" s="5" t="inlineStr">
        <is>
          <t>MTC-072b</t>
        </is>
      </c>
      <c r="B74" s="6" t="inlineStr">
        <is>
          <t>88800000000072</t>
        </is>
      </c>
      <c r="C74" s="7" t="inlineStr">
        <is>
          <t>Same AWB appears twice in the MIS file (second copy)</t>
        </is>
      </c>
      <c r="D74" s="7" t="inlineStr">
        <is>
          <t>Duplicate AWB inside MIS</t>
        </is>
      </c>
      <c r="E74" s="7" t="inlineStr">
        <is>
          <t>Shipment_Test_Data.xlsx</t>
        </is>
      </c>
      <c r="F74" s="7" t="inlineStr">
        <is>
          <t>MATCHED</t>
        </is>
      </c>
      <c r="G74" s="8" t="n">
        <v>25.96</v>
      </c>
      <c r="H74" s="9">
        <f>IF(ISBLANK(MIS!O74),0,MIS!O74)</f>
        <v/>
      </c>
      <c r="I74" s="9">
        <f>IF(G74="","",ROUND(G74-H74,2))</f>
        <v/>
      </c>
      <c r="J74" s="7">
        <f>IF(G74="","",IF(I74&lt;-1,"Overcharged",IF(I74&gt;1,"Undercharged","Within tolerance")))</f>
        <v/>
      </c>
      <c r="K74" s="9" t="n"/>
      <c r="L74" s="7" t="inlineStr">
        <is>
          <t>Duplicate copy of the row above.</t>
        </is>
      </c>
      <c r="M74" s="10" t="n"/>
      <c r="N74" s="10" t="n"/>
    </row>
    <row r="75">
      <c r="A75" s="5" t="inlineStr">
        <is>
          <t>MTC-073</t>
        </is>
      </c>
      <c r="B75" s="6" t="inlineStr">
        <is>
          <t>88800000000073</t>
        </is>
      </c>
      <c r="C75" s="7" t="inlineStr">
        <is>
          <t>Pickup given as address ending with 560076</t>
        </is>
      </c>
      <c r="D75" s="7" t="inlineStr">
        <is>
          <t>Pincode extracted from address (Bangalore)</t>
        </is>
      </c>
      <c r="E75" s="7" t="inlineStr">
        <is>
          <t>Shipment_Test_Data_AddressPickup.xlsx</t>
        </is>
      </c>
      <c r="F75" s="7" t="inlineStr">
        <is>
          <t>MATCHED</t>
        </is>
      </c>
      <c r="G75" s="8" t="n">
        <v>23.6</v>
      </c>
      <c r="H75" s="9">
        <f>IF(ISBLANK(MIS!O75),0,MIS!O75)</f>
        <v/>
      </c>
      <c r="I75" s="9">
        <f>IF(G75="","",ROUND(G75-H75,2))</f>
        <v/>
      </c>
      <c r="J75" s="7">
        <f>IF(G75="","",IF(I75&lt;-1,"Overcharged",IF(I75&gt;1,"Undercharged","Within tolerance")))</f>
        <v/>
      </c>
      <c r="K75" s="9" t="n"/>
      <c r="L75" s="7" t="inlineStr"/>
      <c r="M75" s="10" t="n"/>
      <c r="N75" s="10" t="n"/>
    </row>
    <row r="76">
      <c r="A76" s="5" t="inlineStr">
        <is>
          <t>MTC-074</t>
        </is>
      </c>
      <c r="B76" s="6" t="inlineStr">
        <is>
          <t>88800000000074</t>
        </is>
      </c>
      <c r="C76" s="7" t="inlineStr">
        <is>
          <t>Pickup given as address ending with 134102</t>
        </is>
      </c>
      <c r="D76" s="7" t="inlineStr">
        <is>
          <t>Pincode extracted from address (Pinjore)</t>
        </is>
      </c>
      <c r="E76" s="7" t="inlineStr">
        <is>
          <t>Shipment_Test_Data_AddressPickup.xlsx</t>
        </is>
      </c>
      <c r="F76" s="7" t="inlineStr">
        <is>
          <t>MATCHED</t>
        </is>
      </c>
      <c r="G76" s="8" t="n">
        <v>25.96</v>
      </c>
      <c r="H76" s="9">
        <f>IF(ISBLANK(MIS!O76),0,MIS!O76)</f>
        <v/>
      </c>
      <c r="I76" s="9">
        <f>IF(G76="","",ROUND(G76-H76,2))</f>
        <v/>
      </c>
      <c r="J76" s="7">
        <f>IF(G76="","",IF(I76&lt;-1,"Overcharged",IF(I76&gt;1,"Undercharged","Within tolerance")))</f>
        <v/>
      </c>
      <c r="K76" s="9" t="n"/>
      <c r="L76" s="7" t="inlineStr"/>
      <c r="M76" s="10" t="n"/>
      <c r="N76" s="10" t="n"/>
    </row>
    <row r="77">
      <c r="A77" s="5" t="inlineStr">
        <is>
          <t>MTC-075</t>
        </is>
      </c>
      <c r="B77" s="6" t="inlineStr">
        <is>
          <t>88800000000075</t>
        </is>
      </c>
      <c r="C77" s="7" t="inlineStr">
        <is>
          <t>Pickup address with no pincode at all</t>
        </is>
      </c>
      <c r="D77" s="7" t="inlineStr">
        <is>
          <t>Address without a pincode</t>
        </is>
      </c>
      <c r="E77" s="7" t="inlineStr">
        <is>
          <t>Shipment_Test_Data_AddressPickup.xlsx</t>
        </is>
      </c>
      <c r="F77" s="7" t="inlineStr">
        <is>
          <t>ZONE_NOT_FOUND</t>
        </is>
      </c>
      <c r="G77" s="8" t="n"/>
      <c r="H77" s="9">
        <f>IF(ISBLANK(MIS!O77),0,MIS!O77)</f>
        <v/>
      </c>
      <c r="I77" s="9">
        <f>IF(G77="","",ROUND(G77-H77,2))</f>
        <v/>
      </c>
      <c r="J77" s="7">
        <f>IF(G77="","",IF(I77&lt;-1,"Overcharged",IF(I77&gt;1,"Undercharged","Within tolerance")))</f>
        <v/>
      </c>
      <c r="K77" s="9" t="n"/>
      <c r="L77" s="7" t="inlineStr"/>
      <c r="M77" s="10" t="n"/>
      <c r="N77" s="10" t="n"/>
    </row>
  </sheetData>
  <autoFilter ref="A1:N77"/>
  <conditionalFormatting sqref="N2:N77">
    <cfRule type="cellIs" priority="1" operator="equal" dxfId="0">
      <formula>"Pass"</formula>
    </cfRule>
    <cfRule type="cellIs" priority="2" operator="equal" dxfId="1">
      <formula>"Fail"</formula>
    </cfRule>
  </conditionalFormatting>
  <dataValidations count="1">
    <dataValidation sqref="N2:N77" showDropDown="0" showInputMessage="0" showErrorMessage="0" allowBlank="1" type="list">
      <formula1>"Pass,Fail"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8"/>
  <sheetViews>
    <sheetView showGridLines="0" workbookViewId="0">
      <selection activeCell="A1" sqref="A1"/>
    </sheetView>
  </sheetViews>
  <sheetFormatPr baseColWidth="8" defaultRowHeight="15"/>
  <cols>
    <col width="46" customWidth="1" min="1" max="1"/>
    <col width="16" customWidth="1" min="2" max="2"/>
    <col width="18" customWidth="1" min="3" max="3"/>
    <col width="14" customWidth="1" min="4" max="4"/>
    <col width="10" customWidth="1" min="5" max="5"/>
    <col width="10" customWidth="1" min="6" max="6"/>
    <col width="10" customWidth="1" min="7" max="7"/>
    <col width="10" customWidth="1" min="8" max="8"/>
  </cols>
  <sheetData>
    <row r="1">
      <c r="A1" s="11" t="inlineStr">
        <is>
          <t>MIS test file - how to use</t>
        </is>
      </c>
    </row>
    <row r="2" ht="44" customHeight="1">
      <c r="A2" s="12" t="inlineStr">
        <is>
          <t>What this is</t>
        </is>
      </c>
      <c r="B2" s="13" t="inlineStr">
        <is>
          <t>76 MIS rows, one scenario per row, built in the same column layout as a real Kwikship MIS file. Each row has a known correct outcome listed on the 'Expected Results' sheet.</t>
        </is>
      </c>
    </row>
    <row r="3" ht="44" customHeight="1">
      <c r="A3" s="12" t="inlineStr">
        <is>
          <t>Step 1</t>
        </is>
      </c>
      <c r="B3" s="13" t="inlineStr">
        <is>
          <t>In the app open 'Upload Shipment Data' and upload Shipment_Test_Data.xlsx. Then upload Shipment_Test_Data_AddressPickup.xlsx (3 rows that test pincode-from-address).</t>
        </is>
      </c>
    </row>
    <row r="4" ht="44" customHeight="1">
      <c r="A4" s="12" t="inlineStr">
        <is>
          <t>Step 2</t>
        </is>
      </c>
      <c r="B4" s="13" t="inlineStr">
        <is>
          <t>Make sure the rate card and both zone maps are loaded (Bangalore 560076 and Pinjore 134102). The expected values below assume the standard Schedule B card.</t>
        </is>
      </c>
    </row>
    <row r="5" ht="44" customHeight="1">
      <c r="A5" s="12" t="inlineStr">
        <is>
          <t>Step 3</t>
        </is>
      </c>
      <c r="B5" s="13" t="inlineStr">
        <is>
          <t>Open 'MIS Upload' and upload THIS file. Only the first sheet ('MIS') is read; the other sheets are ignored by the app.</t>
        </is>
      </c>
    </row>
    <row r="6" ht="44" customHeight="1">
      <c r="A6" s="12" t="inlineStr">
        <is>
          <t>Step 4</t>
        </is>
      </c>
      <c r="B6" s="13" t="inlineStr">
        <is>
          <t>Click 'Run reconciliation'. Open the run and search each AWB (or use the filters).</t>
        </is>
      </c>
    </row>
    <row r="7" ht="44" customHeight="1">
      <c r="A7" s="12" t="inlineStr">
        <is>
          <t>Step 5</t>
        </is>
      </c>
      <c r="B7" s="13" t="inlineStr">
        <is>
          <t>On 'Expected Results' type what the app shows into 'Actual result' and choose Pass or Fail. Compare the totals below with the run's summary tiles.</t>
        </is>
      </c>
    </row>
    <row r="8" ht="44" customHeight="1">
      <c r="A8" s="12" t="inlineStr">
        <is>
          <t>Why it works</t>
        </is>
      </c>
      <c r="B8" s="13" t="inlineStr">
        <is>
          <t>All AWBs start with 888 so they will not clash with real shipments. Pincodes and zones were taken from your live zone maps. Kwikship 'billed' amounts on the MIS sheet were calculated with the rate card and then changed on purpose in the error scenarios.</t>
        </is>
      </c>
    </row>
    <row r="9" ht="44" customHeight="1">
      <c r="A9" s="12" t="inlineStr">
        <is>
          <t>Cleanup</t>
        </is>
      </c>
      <c r="B9" s="13" t="inlineStr">
        <is>
          <t>Test data stays in the database. Delete the test run from Reconciliation Runs when done. The 888... AWBs can stay in shipment data; they never appear in real MIS files.</t>
        </is>
      </c>
    </row>
    <row r="11">
      <c r="A11" s="14" t="inlineStr">
        <is>
          <t>Expected totals for this run</t>
        </is>
      </c>
    </row>
    <row r="12">
      <c r="A12" s="1" t="inlineStr">
        <is>
          <t>Result</t>
        </is>
      </c>
      <c r="B12" s="1" t="inlineStr">
        <is>
          <t>Expected count</t>
        </is>
      </c>
      <c r="C12" s="1" t="inlineStr">
        <is>
          <t>Actual (from app)</t>
        </is>
      </c>
      <c r="D12" s="1" t="inlineStr">
        <is>
          <t>Match?</t>
        </is>
      </c>
    </row>
    <row r="13">
      <c r="A13" s="3" t="inlineStr">
        <is>
          <t>MATCHED</t>
        </is>
      </c>
      <c r="B13" s="3">
        <f>COUNTIF('Expected Results'!$F$2:$F$77,A13)</f>
        <v/>
      </c>
      <c r="C13" s="15" t="n"/>
      <c r="D13" s="3">
        <f>IF(C13="","",IF(C13=B13,"OK","Different"))</f>
        <v/>
      </c>
    </row>
    <row r="14">
      <c r="A14" s="3" t="inlineStr">
        <is>
          <t>FREIGHT_MISMATCH</t>
        </is>
      </c>
      <c r="B14" s="3">
        <f>COUNTIF('Expected Results'!$F$2:$F$77,A14)</f>
        <v/>
      </c>
      <c r="C14" s="15" t="n"/>
      <c r="D14" s="3">
        <f>IF(C14="","",IF(C14=B14,"OK","Different"))</f>
        <v/>
      </c>
    </row>
    <row r="15">
      <c r="A15" s="3" t="inlineStr">
        <is>
          <t>PAYMENT_MISMATCH</t>
        </is>
      </c>
      <c r="B15" s="3">
        <f>COUNTIF('Expected Results'!$F$2:$F$77,A15)</f>
        <v/>
      </c>
      <c r="C15" s="15" t="n"/>
      <c r="D15" s="3">
        <f>IF(C15="","",IF(C15=B15,"OK","Different"))</f>
        <v/>
      </c>
    </row>
    <row r="16">
      <c r="A16" s="3" t="inlineStr">
        <is>
          <t>STATUS_MISMATCH</t>
        </is>
      </c>
      <c r="B16" s="3">
        <f>COUNTIF('Expected Results'!$F$2:$F$77,A16)</f>
        <v/>
      </c>
      <c r="C16" s="15" t="n"/>
      <c r="D16" s="3">
        <f>IF(C16="","",IF(C16=B16,"OK","Different"))</f>
        <v/>
      </c>
    </row>
    <row r="17">
      <c r="A17" s="3" t="inlineStr">
        <is>
          <t>ZONE_MISMATCH</t>
        </is>
      </c>
      <c r="B17" s="3">
        <f>COUNTIF('Expected Results'!$F$2:$F$77,A17)</f>
        <v/>
      </c>
      <c r="C17" s="15" t="n"/>
      <c r="D17" s="3">
        <f>IF(C17="","",IF(C17=B17,"OK","Different"))</f>
        <v/>
      </c>
    </row>
    <row r="18">
      <c r="A18" s="3" t="inlineStr">
        <is>
          <t>WEIGHT_MISMATCH</t>
        </is>
      </c>
      <c r="B18" s="3">
        <f>COUNTIF('Expected Results'!$F$2:$F$77,A18)</f>
        <v/>
      </c>
      <c r="C18" s="15" t="n"/>
      <c r="D18" s="3">
        <f>IF(C18="","",IF(C18=B18,"OK","Different"))</f>
        <v/>
      </c>
    </row>
    <row r="19">
      <c r="A19" s="3" t="inlineStr">
        <is>
          <t>LOST</t>
        </is>
      </c>
      <c r="B19" s="3">
        <f>COUNTIF('Expected Results'!$F$2:$F$77,A19)</f>
        <v/>
      </c>
      <c r="C19" s="15" t="n"/>
      <c r="D19" s="3">
        <f>IF(C19="","",IF(C19=B19,"OK","Different"))</f>
        <v/>
      </c>
    </row>
    <row r="20">
      <c r="A20" s="3" t="inlineStr">
        <is>
          <t>NO_API_DATA</t>
        </is>
      </c>
      <c r="B20" s="3">
        <f>COUNTIF('Expected Results'!$F$2:$F$77,A20)</f>
        <v/>
      </c>
      <c r="C20" s="15" t="n"/>
      <c r="D20" s="3">
        <f>IF(C20="","",IF(C20=B20,"OK","Different"))</f>
        <v/>
      </c>
    </row>
    <row r="21">
      <c r="A21" s="3" t="inlineStr">
        <is>
          <t>ZONE_NOT_FOUND</t>
        </is>
      </c>
      <c r="B21" s="3">
        <f>COUNTIF('Expected Results'!$F$2:$F$77,A21)</f>
        <v/>
      </c>
      <c r="C21" s="15" t="n"/>
      <c r="D21" s="3">
        <f>IF(C21="","",IF(C21=B21,"OK","Different"))</f>
        <v/>
      </c>
    </row>
    <row r="22">
      <c r="A22" s="3" t="inlineStr">
        <is>
          <t>RATE_NOT_FOUND</t>
        </is>
      </c>
      <c r="B22" s="3">
        <f>COUNTIF('Expected Results'!$F$2:$F$77,A22)</f>
        <v/>
      </c>
      <c r="C22" s="15" t="n"/>
      <c r="D22" s="3">
        <f>IF(C22="","",IF(C22=B22,"OK","Different"))</f>
        <v/>
      </c>
    </row>
    <row r="23">
      <c r="A23" s="16" t="inlineStr">
        <is>
          <t>TOTAL rows</t>
        </is>
      </c>
      <c r="B23" s="16">
        <f>SUM(B13:B22)</f>
        <v/>
      </c>
      <c r="C23" s="16">
        <f>IF(COUNT(C13:C22)=0,"",SUM(C13:C22))</f>
        <v/>
      </c>
    </row>
    <row r="25">
      <c r="A25" s="14" t="inlineStr">
        <is>
          <t>Money and claims</t>
        </is>
      </c>
    </row>
    <row r="26">
      <c r="A26" s="1" t="inlineStr">
        <is>
          <t>Measure</t>
        </is>
      </c>
      <c r="B26" s="1" t="inlineStr">
        <is>
          <t>Expected</t>
        </is>
      </c>
      <c r="C26" s="1" t="inlineStr">
        <is>
          <t>Actual (from app)</t>
        </is>
      </c>
      <c r="D26" s="1" t="inlineStr">
        <is>
          <t>Match?</t>
        </is>
      </c>
    </row>
    <row r="27">
      <c r="A27" s="3" t="inlineStr">
        <is>
          <t>Matched (summary tile)</t>
        </is>
      </c>
      <c r="B27" s="4">
        <f>B13</f>
        <v/>
      </c>
      <c r="C27" s="17" t="n"/>
      <c r="D27" s="3">
        <f>IF(C27="","",IF(ROUND(C27-B27,2)=0,"OK","Different"))</f>
        <v/>
      </c>
    </row>
    <row r="28">
      <c r="A28" s="3" t="inlineStr">
        <is>
          <t>Mismatched (summary tile - includes the LOST rows)</t>
        </is>
      </c>
      <c r="B28" s="4">
        <f>SUM(B13:B22)-B13-B20</f>
        <v/>
      </c>
      <c r="C28" s="17" t="n"/>
      <c r="D28" s="3">
        <f>IF(C28="","",IF(ROUND(C28-B28,2)=0,"OK","Different"))</f>
        <v/>
      </c>
    </row>
    <row r="29">
      <c r="A29" s="3" t="inlineStr">
        <is>
          <t>No API data (summary tile)</t>
        </is>
      </c>
      <c r="B29" s="4">
        <f>B20</f>
        <v/>
      </c>
      <c r="C29" s="17" t="n"/>
      <c r="D29" s="3">
        <f>IF(C29="","",IF(ROUND(C29-B29,2)=0,"OK","Different"))</f>
        <v/>
      </c>
    </row>
    <row r="30">
      <c r="A30" s="3" t="inlineStr">
        <is>
          <t>Overcharged rows (Kwikship owes you) - count</t>
        </is>
      </c>
      <c r="B30" s="4">
        <f>COUNTIFS('Expected Results'!$J$2:$J$77,"Overcharged")</f>
        <v/>
      </c>
      <c r="C30" s="17" t="n"/>
      <c r="D30" s="3">
        <f>IF(C30="","",IF(ROUND(C30-B30,2)=0,"OK","Different"))</f>
        <v/>
      </c>
    </row>
    <row r="31">
      <c r="A31" s="3" t="inlineStr">
        <is>
          <t>Overcharged amount (Rs)</t>
        </is>
      </c>
      <c r="B31" s="18">
        <f>-SUMIFS('Expected Results'!$I$2:$I$77,'Expected Results'!$J$2:$J$77,"Overcharged")</f>
        <v/>
      </c>
      <c r="C31" s="19" t="n"/>
      <c r="D31" s="3">
        <f>IF(C31="","",IF(ROUND(C31-B31,2)=0,"OK","Different"))</f>
        <v/>
      </c>
    </row>
    <row r="32">
      <c r="A32" s="3" t="inlineStr">
        <is>
          <t>Undercharged rows (you may owe) - count</t>
        </is>
      </c>
      <c r="B32" s="4">
        <f>COUNTIF('Expected Results'!$J$2:$J$77,"Undercharged")</f>
        <v/>
      </c>
      <c r="C32" s="17" t="n"/>
      <c r="D32" s="3">
        <f>IF(C32="","",IF(ROUND(C32-B32,2)=0,"OK","Different"))</f>
        <v/>
      </c>
    </row>
    <row r="33">
      <c r="A33" s="3" t="inlineStr">
        <is>
          <t>Undercharged amount (Rs)</t>
        </is>
      </c>
      <c r="B33" s="18">
        <f>SUMIFS('Expected Results'!$I$2:$I$77,'Expected Results'!$J$2:$J$77,"Undercharged")</f>
        <v/>
      </c>
      <c r="C33" s="19" t="n"/>
      <c r="D33" s="3">
        <f>IF(C33="","",IF(ROUND(C33-B33,2)=0,"OK","Different"))</f>
        <v/>
      </c>
    </row>
    <row r="34">
      <c r="A34" s="3" t="inlineStr">
        <is>
          <t>Lost rows</t>
        </is>
      </c>
      <c r="B34" s="4">
        <f>COUNTIF('Expected Results'!$F$2:$F$77,"LOST")</f>
        <v/>
      </c>
      <c r="C34" s="17" t="n"/>
      <c r="D34" s="3">
        <f>IF(C34="","",IF(ROUND(C34-B34,2)=0,"OK","Different"))</f>
        <v/>
      </c>
    </row>
    <row r="35">
      <c r="A35" s="3" t="inlineStr">
        <is>
          <t>Total claimable (Rs)</t>
        </is>
      </c>
      <c r="B35" s="18">
        <f>SUM('Expected Results'!$K$2:$K$77)</f>
        <v/>
      </c>
      <c r="C35" s="19" t="n"/>
      <c r="D35" s="3">
        <f>IF(C35="","",IF(ROUND(C35-B35,2)=0,"OK","Different"))</f>
        <v/>
      </c>
    </row>
    <row r="36">
      <c r="A36" s="20" t="inlineStr">
        <is>
          <t>Note: the money figures only count rows the app can price. A real run compares to these only if this is the only MIS you reconcile for the test.</t>
        </is>
      </c>
    </row>
    <row r="38">
      <c r="A38" s="14" t="inlineStr">
        <is>
          <t>Rate card used (blue = input)</t>
        </is>
      </c>
    </row>
    <row r="39">
      <c r="A39" s="1" t="inlineStr">
        <is>
          <t>Group / mode / type</t>
        </is>
      </c>
      <c r="B39" s="1" t="inlineStr">
        <is>
          <t>A</t>
        </is>
      </c>
      <c r="C39" s="1" t="inlineStr">
        <is>
          <t>B</t>
        </is>
      </c>
      <c r="D39" s="1" t="inlineStr">
        <is>
          <t>C</t>
        </is>
      </c>
      <c r="E39" s="1" t="inlineStr">
        <is>
          <t>D</t>
        </is>
      </c>
      <c r="F39" s="1" t="inlineStr">
        <is>
          <t>E</t>
        </is>
      </c>
    </row>
    <row r="40">
      <c r="A40" s="3" t="inlineStr">
        <is>
          <t>ALL / SURFACE / Forward</t>
        </is>
      </c>
      <c r="B40" s="21" t="n">
        <v>20</v>
      </c>
      <c r="C40" s="21" t="n">
        <v>22</v>
      </c>
      <c r="D40" s="21" t="n">
        <v>29</v>
      </c>
      <c r="E40" s="21" t="n">
        <v>33</v>
      </c>
      <c r="F40" s="21" t="n">
        <v>39</v>
      </c>
    </row>
    <row r="41">
      <c r="A41" s="3" t="inlineStr">
        <is>
          <t>ALL / SURFACE / RTO</t>
        </is>
      </c>
      <c r="B41" s="21" t="n">
        <v>18</v>
      </c>
      <c r="C41" s="21" t="n">
        <v>20</v>
      </c>
      <c r="D41" s="21" t="n">
        <v>27</v>
      </c>
      <c r="E41" s="21" t="n">
        <v>31</v>
      </c>
      <c r="F41" s="21" t="n">
        <v>37</v>
      </c>
    </row>
    <row r="42">
      <c r="A42" s="3" t="inlineStr">
        <is>
          <t>ALL / AIR / Forward</t>
        </is>
      </c>
      <c r="B42" s="21" t="n">
        <v>25</v>
      </c>
      <c r="C42" s="21" t="n">
        <v>29</v>
      </c>
      <c r="D42" s="21" t="n">
        <v>41</v>
      </c>
      <c r="E42" s="21" t="n">
        <v>50</v>
      </c>
      <c r="F42" s="21" t="n">
        <v>80</v>
      </c>
    </row>
    <row r="43">
      <c r="A43" s="3" t="inlineStr">
        <is>
          <t>ALL / AIR / RTO</t>
        </is>
      </c>
      <c r="B43" s="21" t="n">
        <v>25</v>
      </c>
      <c r="C43" s="21" t="n">
        <v>29</v>
      </c>
      <c r="D43" s="21" t="n">
        <v>41</v>
      </c>
      <c r="E43" s="21" t="n">
        <v>50</v>
      </c>
      <c r="F43" s="21" t="n">
        <v>80</v>
      </c>
    </row>
    <row r="44">
      <c r="A44" s="3" t="inlineStr">
        <is>
          <t>ALL / NDD / Forward</t>
        </is>
      </c>
      <c r="B44" s="21" t="n">
        <v>27</v>
      </c>
      <c r="C44" s="21" t="n">
        <v>32</v>
      </c>
      <c r="D44" s="21" t="n">
        <v>45</v>
      </c>
      <c r="E44" s="21" t="n">
        <v>55</v>
      </c>
      <c r="F44" s="21" t="n">
        <v>0</v>
      </c>
    </row>
    <row r="45">
      <c r="A45" s="3" t="inlineStr">
        <is>
          <t>ALL / NDD / RTO</t>
        </is>
      </c>
      <c r="B45" s="21" t="n">
        <v>27</v>
      </c>
      <c r="C45" s="21" t="n">
        <v>32</v>
      </c>
      <c r="D45" s="21" t="n">
        <v>45</v>
      </c>
      <c r="E45" s="21" t="n">
        <v>55</v>
      </c>
      <c r="F45" s="21" t="n">
        <v>0</v>
      </c>
    </row>
    <row r="46">
      <c r="A46" s="3" t="inlineStr">
        <is>
          <t>BLUEDART / SURFACE / Forward</t>
        </is>
      </c>
      <c r="B46" s="21" t="n">
        <v>24</v>
      </c>
      <c r="C46" s="21" t="n">
        <v>26</v>
      </c>
      <c r="D46" s="21" t="n">
        <v>34</v>
      </c>
      <c r="E46" s="21" t="n">
        <v>39</v>
      </c>
      <c r="F46" s="21" t="n">
        <v>46</v>
      </c>
    </row>
    <row r="47">
      <c r="A47" s="3" t="inlineStr">
        <is>
          <t>BLUEDART / SURFACE / RTO</t>
        </is>
      </c>
      <c r="B47" s="21" t="n">
        <v>22</v>
      </c>
      <c r="C47" s="21" t="n">
        <v>24</v>
      </c>
      <c r="D47" s="21" t="n">
        <v>32</v>
      </c>
      <c r="E47" s="21" t="n">
        <v>37</v>
      </c>
      <c r="F47" s="21" t="n">
        <v>44</v>
      </c>
    </row>
    <row r="48">
      <c r="A48" s="20" t="inlineStr">
        <is>
          <t>COD: Surface flat 15 / 1.1%; Air and NDD flat 28 / 1.5%. Slab 0.5 kg. GST 18%. Tolerance Rs 1. Source: Schedule_B_Commercials_Pricing.xlsx as loaded in the app.</t>
        </is>
      </c>
    </row>
  </sheetData>
  <mergeCells count="8">
    <mergeCell ref="B8:H8"/>
    <mergeCell ref="B9:H9"/>
    <mergeCell ref="B4:H4"/>
    <mergeCell ref="B6:H6"/>
    <mergeCell ref="B2:H2"/>
    <mergeCell ref="B7:H7"/>
    <mergeCell ref="B3:H3"/>
    <mergeCell ref="B5:H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2026-09-23T19:04:34Z</dcterms:created>
  <dcterms:modified xsi:type="dcterms:W3CDTF">2026-09-23T19:04:34Z</dcterms:modified>
</cp:coreProperties>
</file>