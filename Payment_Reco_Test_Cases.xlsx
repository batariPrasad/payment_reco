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Test Cases" sheetId="3" state="visible" r:id="rId3"/>
    <sheet name="Calc Test Data" sheetId="4" state="visible" r:id="rId4"/>
    <sheet name="Status Rules" sheetId="5" state="visible" r:id="rId5"/>
  </sheets>
  <definedNames>
    <definedName name="_xlnm._FilterDatabase" localSheetId="2" hidden="1">'Test Cases'!$A$1:$N$231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C4400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4400F"/>
      <sz val="14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C4400F"/>
      </patternFill>
    </fill>
    <fill>
      <patternFill patternType="solid">
        <fgColor rgb="00FFF7CC"/>
      </patternFill>
    </fill>
    <fill>
      <patternFill patternType="solid">
        <fgColor rgb="00FBEEE0"/>
      </patternFill>
    </fill>
  </fills>
  <borders count="2">
    <border>
      <left/>
      <right/>
      <top/>
      <bottom/>
      <diagonal/>
    </border>
    <border>
      <left style="thin">
        <color rgb="00E0D2C4"/>
      </left>
      <right style="thin">
        <color rgb="00E0D2C4"/>
      </right>
      <top style="thin">
        <color rgb="00E0D2C4"/>
      </top>
      <bottom style="thin">
        <color rgb="00E0D2C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9" fontId="3" fillId="0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9" fontId="6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4" fontId="3" fillId="0" borderId="1" pivotButton="0" quotePrefix="0" xfId="0"/>
    <xf numFmtId="4" fontId="2" fillId="0" borderId="1" pivotButton="0" quotePrefix="0" xfId="0"/>
    <xf numFmtId="4" fontId="3" fillId="3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006100"/>
      </font>
      <fill>
        <patternFill patternType="solid">
          <bgColor rgb="00C6EFCE"/>
        </patternFill>
      </fill>
    </dxf>
    <dxf>
      <font>
        <name val="Arial"/>
        <b val="1"/>
        <color rgb="009C0006"/>
      </font>
      <fill>
        <patternFill patternType="solid">
          <bgColor rgb="00FFC7CE"/>
        </patternFill>
      </fill>
    </dxf>
    <dxf>
      <font>
        <name val="Arial"/>
        <b val="1"/>
        <color rgb="009C5700"/>
      </font>
      <fill>
        <patternFill patternType="solid">
          <bgColor rgb="00FFEB9C"/>
        </patternFill>
      </fill>
    </dxf>
    <dxf>
      <font>
        <name val="Arial"/>
        <b val="1"/>
        <color rgb="00C00000"/>
      </font>
    </dxf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Payment Reco - Test Case Workbook</t>
        </is>
      </c>
    </row>
    <row r="2"/>
    <row r="3">
      <c r="A3" s="2" t="inlineStr">
        <is>
          <t>Purpose</t>
        </is>
      </c>
      <c r="B3" s="3" t="inlineStr">
        <is>
          <t>Manual test cases covering the whole Payment Reco application (login, users, uploads, sync, rate card, reconciliation engine, results, UI and security).</t>
        </is>
      </c>
    </row>
    <row r="4">
      <c r="A4" s="2" t="inlineStr">
        <is>
          <t>How to use</t>
        </is>
      </c>
      <c r="B4" s="3" t="inlineStr">
        <is>
          <t>1. Go to the 'Test Cases' sheet.
2. Run each case in order (or filter by Module / Priority).
3. Set Status from the dropdown: Not Run, Pass, Fail, Blocked.
4. Fill Actual result, Tester and Date for anything that is not a clean Pass.
5. Check the 'Summary' sheet for live counts.</t>
        </is>
      </c>
    </row>
    <row r="5">
      <c r="A5" s="2" t="inlineStr">
        <is>
          <t>Calc Test Data</t>
        </is>
      </c>
      <c r="B5" s="3" t="inlineStr">
        <is>
          <t>Sheet with worked freight examples. Type what the app shows in the yellow column; the sheet tells you if it is within the tolerance. Rates in blue come from the standard rate card - change them if you upload a different card.</t>
        </is>
      </c>
    </row>
    <row r="6">
      <c r="A6" s="2" t="inlineStr">
        <is>
          <t>Status Rules</t>
        </is>
      </c>
      <c r="B6" s="3" t="inlineStr">
        <is>
          <t>Every MIS status vs shipment status combination and the result you should see.</t>
        </is>
      </c>
    </row>
    <row r="7">
      <c r="A7" s="2" t="inlineStr">
        <is>
          <t>Types</t>
        </is>
      </c>
      <c r="B7" s="3" t="inlineStr">
        <is>
          <t>Positive, Negative, Edge, Security, UI, Data, Performance, Regression, Reliability, Compatibility, Accessibility.</t>
        </is>
      </c>
    </row>
    <row r="8">
      <c r="A8" s="2" t="inlineStr">
        <is>
          <t>Priority</t>
        </is>
      </c>
      <c r="B8" s="3" t="inlineStr">
        <is>
          <t>High = must pass before release. Medium = should pass. Low = nice to have.</t>
        </is>
      </c>
    </row>
    <row r="9">
      <c r="A9" s="2" t="inlineStr">
        <is>
          <t>MIS test data</t>
        </is>
      </c>
      <c r="B9" s="3" t="inlineStr">
        <is>
          <t>Ready-made upload files are in D:\payment_reco\app\test-data (MIS_Test_Data.xlsx plus two shipment files). They cover 75 scenarios with known expected results.</t>
        </is>
      </c>
    </row>
    <row r="10">
      <c r="A10" s="2" t="inlineStr">
        <is>
          <t>Test environment</t>
        </is>
      </c>
      <c r="B10" s="3" t="inlineStr">
        <is>
          <t>App: http://localhost:5173   API: http://localhost:4000   Test with an admin and at least one normal user (View only).</t>
        </is>
      </c>
    </row>
    <row r="11">
      <c r="A11" s="2" t="inlineStr">
        <is>
          <t>Assumptions</t>
        </is>
      </c>
      <c r="B11" s="3" t="inlineStr">
        <is>
          <t>Expected results are based on the current app rules: 0.5 kg slabs, 18% GST, Rs 1 freight tolerance, COD = MAX(flat, % of amount) except on RTO, grams-to-kg conversion, strict status matching. Update them here if the rules change.</t>
        </is>
      </c>
    </row>
    <row r="12">
      <c r="A12" s="2" t="inlineStr">
        <is>
          <t>Legend</t>
        </is>
      </c>
      <c r="B12" s="3" t="inlineStr">
        <is>
          <t>Yellow cells are for you to fill. Blue text = input values you may change. Black text =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4" customWidth="1" min="7" max="7"/>
  </cols>
  <sheetData>
    <row r="1">
      <c r="A1" s="4" t="inlineStr">
        <is>
          <t>Test execution summary</t>
        </is>
      </c>
    </row>
    <row r="3">
      <c r="A3" s="5" t="inlineStr">
        <is>
          <t>Module</t>
        </is>
      </c>
      <c r="B3" s="5" t="inlineStr">
        <is>
          <t>Total</t>
        </is>
      </c>
      <c r="C3" s="5" t="inlineStr">
        <is>
          <t>Pass</t>
        </is>
      </c>
      <c r="D3" s="5" t="inlineStr">
        <is>
          <t>Fail</t>
        </is>
      </c>
      <c r="E3" s="5" t="inlineStr">
        <is>
          <t>Blocked</t>
        </is>
      </c>
      <c r="F3" s="5" t="inlineStr">
        <is>
          <t>Not Run</t>
        </is>
      </c>
      <c r="G3" s="5" t="inlineStr">
        <is>
          <t>% Pass of run</t>
        </is>
      </c>
    </row>
    <row r="4">
      <c r="A4" s="6" t="inlineStr">
        <is>
          <t>Login &amp; session</t>
        </is>
      </c>
      <c r="B4" s="6">
        <f>COUNTIF('Test Cases'!$B$2:$B$231,A4)</f>
        <v/>
      </c>
      <c r="C4" s="6">
        <f>COUNTIFS('Test Cases'!$B$2:$B$231,A4,'Test Cases'!$J$2:$J$231,"Pass")</f>
        <v/>
      </c>
      <c r="D4" s="6">
        <f>COUNTIFS('Test Cases'!$B$2:$B$231,A4,'Test Cases'!$J$2:$J$231,"Fail")</f>
        <v/>
      </c>
      <c r="E4" s="6">
        <f>COUNTIFS('Test Cases'!$B$2:$B$231,A4,'Test Cases'!$J$2:$J$231,"Blocked")</f>
        <v/>
      </c>
      <c r="F4" s="6">
        <f>COUNTIFS('Test Cases'!$B$2:$B$231,A4,'Test Cases'!$J$2:$J$231,"Not Run")</f>
        <v/>
      </c>
      <c r="G4" s="7">
        <f>IF((C4+D4)=0,0,C4/(C4+D4))</f>
        <v/>
      </c>
    </row>
    <row r="5">
      <c r="A5" s="6" t="inlineStr">
        <is>
          <t>Change password</t>
        </is>
      </c>
      <c r="B5" s="6">
        <f>COUNTIF('Test Cases'!$B$2:$B$231,A5)</f>
        <v/>
      </c>
      <c r="C5" s="6">
        <f>COUNTIFS('Test Cases'!$B$2:$B$231,A5,'Test Cases'!$J$2:$J$231,"Pass")</f>
        <v/>
      </c>
      <c r="D5" s="6">
        <f>COUNTIFS('Test Cases'!$B$2:$B$231,A5,'Test Cases'!$J$2:$J$231,"Fail")</f>
        <v/>
      </c>
      <c r="E5" s="6">
        <f>COUNTIFS('Test Cases'!$B$2:$B$231,A5,'Test Cases'!$J$2:$J$231,"Blocked")</f>
        <v/>
      </c>
      <c r="F5" s="6">
        <f>COUNTIFS('Test Cases'!$B$2:$B$231,A5,'Test Cases'!$J$2:$J$231,"Not Run")</f>
        <v/>
      </c>
      <c r="G5" s="7">
        <f>IF((C5+D5)=0,0,C5/(C5+D5))</f>
        <v/>
      </c>
    </row>
    <row r="6">
      <c r="A6" s="6" t="inlineStr">
        <is>
          <t>User management (admin)</t>
        </is>
      </c>
      <c r="B6" s="6">
        <f>COUNTIF('Test Cases'!$B$2:$B$231,A6)</f>
        <v/>
      </c>
      <c r="C6" s="6">
        <f>COUNTIFS('Test Cases'!$B$2:$B$231,A6,'Test Cases'!$J$2:$J$231,"Pass")</f>
        <v/>
      </c>
      <c r="D6" s="6">
        <f>COUNTIFS('Test Cases'!$B$2:$B$231,A6,'Test Cases'!$J$2:$J$231,"Fail")</f>
        <v/>
      </c>
      <c r="E6" s="6">
        <f>COUNTIFS('Test Cases'!$B$2:$B$231,A6,'Test Cases'!$J$2:$J$231,"Blocked")</f>
        <v/>
      </c>
      <c r="F6" s="6">
        <f>COUNTIFS('Test Cases'!$B$2:$B$231,A6,'Test Cases'!$J$2:$J$231,"Not Run")</f>
        <v/>
      </c>
      <c r="G6" s="7">
        <f>IF((C6+D6)=0,0,C6/(C6+D6))</f>
        <v/>
      </c>
    </row>
    <row r="7">
      <c r="A7" s="6" t="inlineStr">
        <is>
          <t>Permissions matrix</t>
        </is>
      </c>
      <c r="B7" s="6">
        <f>COUNTIF('Test Cases'!$B$2:$B$231,A7)</f>
        <v/>
      </c>
      <c r="C7" s="6">
        <f>COUNTIFS('Test Cases'!$B$2:$B$231,A7,'Test Cases'!$J$2:$J$231,"Pass")</f>
        <v/>
      </c>
      <c r="D7" s="6">
        <f>COUNTIFS('Test Cases'!$B$2:$B$231,A7,'Test Cases'!$J$2:$J$231,"Fail")</f>
        <v/>
      </c>
      <c r="E7" s="6">
        <f>COUNTIFS('Test Cases'!$B$2:$B$231,A7,'Test Cases'!$J$2:$J$231,"Blocked")</f>
        <v/>
      </c>
      <c r="F7" s="6">
        <f>COUNTIFS('Test Cases'!$B$2:$B$231,A7,'Test Cases'!$J$2:$J$231,"Not Run")</f>
        <v/>
      </c>
      <c r="G7" s="7">
        <f>IF((C7+D7)=0,0,C7/(C7+D7))</f>
        <v/>
      </c>
    </row>
    <row r="8">
      <c r="A8" s="6" t="inlineStr">
        <is>
          <t>MIS upload</t>
        </is>
      </c>
      <c r="B8" s="6">
        <f>COUNTIF('Test Cases'!$B$2:$B$231,A8)</f>
        <v/>
      </c>
      <c r="C8" s="6">
        <f>COUNTIFS('Test Cases'!$B$2:$B$231,A8,'Test Cases'!$J$2:$J$231,"Pass")</f>
        <v/>
      </c>
      <c r="D8" s="6">
        <f>COUNTIFS('Test Cases'!$B$2:$B$231,A8,'Test Cases'!$J$2:$J$231,"Fail")</f>
        <v/>
      </c>
      <c r="E8" s="6">
        <f>COUNTIFS('Test Cases'!$B$2:$B$231,A8,'Test Cases'!$J$2:$J$231,"Blocked")</f>
        <v/>
      </c>
      <c r="F8" s="6">
        <f>COUNTIFS('Test Cases'!$B$2:$B$231,A8,'Test Cases'!$J$2:$J$231,"Not Run")</f>
        <v/>
      </c>
      <c r="G8" s="7">
        <f>IF((C8+D8)=0,0,C8/(C8+D8))</f>
        <v/>
      </c>
    </row>
    <row r="9">
      <c r="A9" s="6" t="inlineStr">
        <is>
          <t>Shipment data upload</t>
        </is>
      </c>
      <c r="B9" s="6">
        <f>COUNTIF('Test Cases'!$B$2:$B$231,A9)</f>
        <v/>
      </c>
      <c r="C9" s="6">
        <f>COUNTIFS('Test Cases'!$B$2:$B$231,A9,'Test Cases'!$J$2:$J$231,"Pass")</f>
        <v/>
      </c>
      <c r="D9" s="6">
        <f>COUNTIFS('Test Cases'!$B$2:$B$231,A9,'Test Cases'!$J$2:$J$231,"Fail")</f>
        <v/>
      </c>
      <c r="E9" s="6">
        <f>COUNTIFS('Test Cases'!$B$2:$B$231,A9,'Test Cases'!$J$2:$J$231,"Blocked")</f>
        <v/>
      </c>
      <c r="F9" s="6">
        <f>COUNTIFS('Test Cases'!$B$2:$B$231,A9,'Test Cases'!$J$2:$J$231,"Not Run")</f>
        <v/>
      </c>
      <c r="G9" s="7">
        <f>IF((C9+D9)=0,0,C9/(C9+D9))</f>
        <v/>
      </c>
    </row>
    <row r="10">
      <c r="A10" s="6" t="inlineStr">
        <is>
          <t>Sync from Kwikship API</t>
        </is>
      </c>
      <c r="B10" s="6">
        <f>COUNTIF('Test Cases'!$B$2:$B$231,A10)</f>
        <v/>
      </c>
      <c r="C10" s="6">
        <f>COUNTIFS('Test Cases'!$B$2:$B$231,A10,'Test Cases'!$J$2:$J$231,"Pass")</f>
        <v/>
      </c>
      <c r="D10" s="6">
        <f>COUNTIFS('Test Cases'!$B$2:$B$231,A10,'Test Cases'!$J$2:$J$231,"Fail")</f>
        <v/>
      </c>
      <c r="E10" s="6">
        <f>COUNTIFS('Test Cases'!$B$2:$B$231,A10,'Test Cases'!$J$2:$J$231,"Blocked")</f>
        <v/>
      </c>
      <c r="F10" s="6">
        <f>COUNTIFS('Test Cases'!$B$2:$B$231,A10,'Test Cases'!$J$2:$J$231,"Not Run")</f>
        <v/>
      </c>
      <c r="G10" s="7">
        <f>IF((C10+D10)=0,0,C10/(C10+D10))</f>
        <v/>
      </c>
    </row>
    <row r="11">
      <c r="A11" s="6" t="inlineStr">
        <is>
          <t>Zone reference</t>
        </is>
      </c>
      <c r="B11" s="6">
        <f>COUNTIF('Test Cases'!$B$2:$B$231,A11)</f>
        <v/>
      </c>
      <c r="C11" s="6">
        <f>COUNTIFS('Test Cases'!$B$2:$B$231,A11,'Test Cases'!$J$2:$J$231,"Pass")</f>
        <v/>
      </c>
      <c r="D11" s="6">
        <f>COUNTIFS('Test Cases'!$B$2:$B$231,A11,'Test Cases'!$J$2:$J$231,"Fail")</f>
        <v/>
      </c>
      <c r="E11" s="6">
        <f>COUNTIFS('Test Cases'!$B$2:$B$231,A11,'Test Cases'!$J$2:$J$231,"Blocked")</f>
        <v/>
      </c>
      <c r="F11" s="6">
        <f>COUNTIFS('Test Cases'!$B$2:$B$231,A11,'Test Cases'!$J$2:$J$231,"Not Run")</f>
        <v/>
      </c>
      <c r="G11" s="7">
        <f>IF((C11+D11)=0,0,C11/(C11+D11))</f>
        <v/>
      </c>
    </row>
    <row r="12">
      <c r="A12" s="6" t="inlineStr">
        <is>
          <t>Rate card</t>
        </is>
      </c>
      <c r="B12" s="6">
        <f>COUNTIF('Test Cases'!$B$2:$B$231,A12)</f>
        <v/>
      </c>
      <c r="C12" s="6">
        <f>COUNTIFS('Test Cases'!$B$2:$B$231,A12,'Test Cases'!$J$2:$J$231,"Pass")</f>
        <v/>
      </c>
      <c r="D12" s="6">
        <f>COUNTIFS('Test Cases'!$B$2:$B$231,A12,'Test Cases'!$J$2:$J$231,"Fail")</f>
        <v/>
      </c>
      <c r="E12" s="6">
        <f>COUNTIFS('Test Cases'!$B$2:$B$231,A12,'Test Cases'!$J$2:$J$231,"Blocked")</f>
        <v/>
      </c>
      <c r="F12" s="6">
        <f>COUNTIFS('Test Cases'!$B$2:$B$231,A12,'Test Cases'!$J$2:$J$231,"Not Run")</f>
        <v/>
      </c>
      <c r="G12" s="7">
        <f>IF((C12+D12)=0,0,C12/(C12+D12))</f>
        <v/>
      </c>
    </row>
    <row r="13">
      <c r="A13" s="6" t="inlineStr">
        <is>
          <t>Reconciliation engine (calculations)</t>
        </is>
      </c>
      <c r="B13" s="6">
        <f>COUNTIF('Test Cases'!$B$2:$B$231,A13)</f>
        <v/>
      </c>
      <c r="C13" s="6">
        <f>COUNTIFS('Test Cases'!$B$2:$B$231,A13,'Test Cases'!$J$2:$J$231,"Pass")</f>
        <v/>
      </c>
      <c r="D13" s="6">
        <f>COUNTIFS('Test Cases'!$B$2:$B$231,A13,'Test Cases'!$J$2:$J$231,"Fail")</f>
        <v/>
      </c>
      <c r="E13" s="6">
        <f>COUNTIFS('Test Cases'!$B$2:$B$231,A13,'Test Cases'!$J$2:$J$231,"Blocked")</f>
        <v/>
      </c>
      <c r="F13" s="6">
        <f>COUNTIFS('Test Cases'!$B$2:$B$231,A13,'Test Cases'!$J$2:$J$231,"Not Run")</f>
        <v/>
      </c>
      <c r="G13" s="7">
        <f>IF((C13+D13)=0,0,C13/(C13+D13))</f>
        <v/>
      </c>
    </row>
    <row r="14">
      <c r="A14" s="6" t="inlineStr">
        <is>
          <t>Reconciliation runs list</t>
        </is>
      </c>
      <c r="B14" s="6">
        <f>COUNTIF('Test Cases'!$B$2:$B$231,A14)</f>
        <v/>
      </c>
      <c r="C14" s="6">
        <f>COUNTIFS('Test Cases'!$B$2:$B$231,A14,'Test Cases'!$J$2:$J$231,"Pass")</f>
        <v/>
      </c>
      <c r="D14" s="6">
        <f>COUNTIFS('Test Cases'!$B$2:$B$231,A14,'Test Cases'!$J$2:$J$231,"Fail")</f>
        <v/>
      </c>
      <c r="E14" s="6">
        <f>COUNTIFS('Test Cases'!$B$2:$B$231,A14,'Test Cases'!$J$2:$J$231,"Blocked")</f>
        <v/>
      </c>
      <c r="F14" s="6">
        <f>COUNTIFS('Test Cases'!$B$2:$B$231,A14,'Test Cases'!$J$2:$J$231,"Not Run")</f>
        <v/>
      </c>
      <c r="G14" s="7">
        <f>IF((C14+D14)=0,0,C14/(C14+D14))</f>
        <v/>
      </c>
    </row>
    <row r="15">
      <c r="A15" s="6" t="inlineStr">
        <is>
          <t>Run results page</t>
        </is>
      </c>
      <c r="B15" s="6">
        <f>COUNTIF('Test Cases'!$B$2:$B$231,A15)</f>
        <v/>
      </c>
      <c r="C15" s="6">
        <f>COUNTIFS('Test Cases'!$B$2:$B$231,A15,'Test Cases'!$J$2:$J$231,"Pass")</f>
        <v/>
      </c>
      <c r="D15" s="6">
        <f>COUNTIFS('Test Cases'!$B$2:$B$231,A15,'Test Cases'!$J$2:$J$231,"Fail")</f>
        <v/>
      </c>
      <c r="E15" s="6">
        <f>COUNTIFS('Test Cases'!$B$2:$B$231,A15,'Test Cases'!$J$2:$J$231,"Blocked")</f>
        <v/>
      </c>
      <c r="F15" s="6">
        <f>COUNTIFS('Test Cases'!$B$2:$B$231,A15,'Test Cases'!$J$2:$J$231,"Not Run")</f>
        <v/>
      </c>
      <c r="G15" s="7">
        <f>IF((C15+D15)=0,0,C15/(C15+D15))</f>
        <v/>
      </c>
    </row>
    <row r="16">
      <c r="A16" s="6" t="inlineStr">
        <is>
          <t>UI, theme and responsive</t>
        </is>
      </c>
      <c r="B16" s="6">
        <f>COUNTIF('Test Cases'!$B$2:$B$231,A16)</f>
        <v/>
      </c>
      <c r="C16" s="6">
        <f>COUNTIFS('Test Cases'!$B$2:$B$231,A16,'Test Cases'!$J$2:$J$231,"Pass")</f>
        <v/>
      </c>
      <c r="D16" s="6">
        <f>COUNTIFS('Test Cases'!$B$2:$B$231,A16,'Test Cases'!$J$2:$J$231,"Fail")</f>
        <v/>
      </c>
      <c r="E16" s="6">
        <f>COUNTIFS('Test Cases'!$B$2:$B$231,A16,'Test Cases'!$J$2:$J$231,"Blocked")</f>
        <v/>
      </c>
      <c r="F16" s="6">
        <f>COUNTIFS('Test Cases'!$B$2:$B$231,A16,'Test Cases'!$J$2:$J$231,"Not Run")</f>
        <v/>
      </c>
      <c r="G16" s="7">
        <f>IF((C16+D16)=0,0,C16/(C16+D16))</f>
        <v/>
      </c>
    </row>
    <row r="17">
      <c r="A17" s="6" t="inlineStr">
        <is>
          <t>Security</t>
        </is>
      </c>
      <c r="B17" s="6">
        <f>COUNTIF('Test Cases'!$B$2:$B$231,A17)</f>
        <v/>
      </c>
      <c r="C17" s="6">
        <f>COUNTIFS('Test Cases'!$B$2:$B$231,A17,'Test Cases'!$J$2:$J$231,"Pass")</f>
        <v/>
      </c>
      <c r="D17" s="6">
        <f>COUNTIFS('Test Cases'!$B$2:$B$231,A17,'Test Cases'!$J$2:$J$231,"Fail")</f>
        <v/>
      </c>
      <c r="E17" s="6">
        <f>COUNTIFS('Test Cases'!$B$2:$B$231,A17,'Test Cases'!$J$2:$J$231,"Blocked")</f>
        <v/>
      </c>
      <c r="F17" s="6">
        <f>COUNTIFS('Test Cases'!$B$2:$B$231,A17,'Test Cases'!$J$2:$J$231,"Not Run")</f>
        <v/>
      </c>
      <c r="G17" s="7">
        <f>IF((C17+D17)=0,0,C17/(C17+D17))</f>
        <v/>
      </c>
    </row>
    <row r="18">
      <c r="A18" s="6" t="inlineStr">
        <is>
          <t>Reliability &amp; data integrity</t>
        </is>
      </c>
      <c r="B18" s="6">
        <f>COUNTIF('Test Cases'!$B$2:$B$231,A18)</f>
        <v/>
      </c>
      <c r="C18" s="6">
        <f>COUNTIFS('Test Cases'!$B$2:$B$231,A18,'Test Cases'!$J$2:$J$231,"Pass")</f>
        <v/>
      </c>
      <c r="D18" s="6">
        <f>COUNTIFS('Test Cases'!$B$2:$B$231,A18,'Test Cases'!$J$2:$J$231,"Fail")</f>
        <v/>
      </c>
      <c r="E18" s="6">
        <f>COUNTIFS('Test Cases'!$B$2:$B$231,A18,'Test Cases'!$J$2:$J$231,"Blocked")</f>
        <v/>
      </c>
      <c r="F18" s="6">
        <f>COUNTIFS('Test Cases'!$B$2:$B$231,A18,'Test Cases'!$J$2:$J$231,"Not Run")</f>
        <v/>
      </c>
      <c r="G18" s="7">
        <f>IF((C18+D18)=0,0,C18/(C18+D18))</f>
        <v/>
      </c>
    </row>
    <row r="19">
      <c r="A19" s="8" t="inlineStr">
        <is>
          <t>TOTAL</t>
        </is>
      </c>
      <c r="B19" s="8">
        <f>SUM(B4:B18)</f>
        <v/>
      </c>
      <c r="C19" s="8">
        <f>SUM(C4:C18)</f>
        <v/>
      </c>
      <c r="D19" s="8">
        <f>SUM(D4:D18)</f>
        <v/>
      </c>
      <c r="E19" s="8">
        <f>SUM(E4:E18)</f>
        <v/>
      </c>
      <c r="F19" s="8">
        <f>SUM(F4:F18)</f>
        <v/>
      </c>
      <c r="G19" s="9">
        <f>IF((C19+D19)=0,0,C19/(C19+D19))</f>
        <v/>
      </c>
    </row>
    <row r="21">
      <c r="A21" s="10" t="inlineStr">
        <is>
          <t>By priority</t>
        </is>
      </c>
    </row>
    <row r="22">
      <c r="A22" s="11" t="inlineStr">
        <is>
          <t>Priority</t>
        </is>
      </c>
      <c r="B22" s="11" t="inlineStr">
        <is>
          <t>Total</t>
        </is>
      </c>
      <c r="C22" s="11" t="inlineStr">
        <is>
          <t>Pass</t>
        </is>
      </c>
      <c r="D22" s="11" t="inlineStr">
        <is>
          <t>Fail</t>
        </is>
      </c>
      <c r="E22" s="11" t="inlineStr">
        <is>
          <t>Blocked</t>
        </is>
      </c>
      <c r="F22" s="11" t="inlineStr">
        <is>
          <t>Not Run</t>
        </is>
      </c>
    </row>
    <row r="23">
      <c r="A23" s="6" t="inlineStr">
        <is>
          <t>High</t>
        </is>
      </c>
      <c r="B23" s="6">
        <f>COUNTIF('Test Cases'!$E$2:$E$231,A23)</f>
        <v/>
      </c>
      <c r="C23" s="6">
        <f>COUNTIFS('Test Cases'!$E$2:$E$231,$A23,'Test Cases'!$J$2:$J$231,"Pass")</f>
        <v/>
      </c>
      <c r="D23" s="6">
        <f>COUNTIFS('Test Cases'!$E$2:$E$231,$A23,'Test Cases'!$J$2:$J$231,"Fail")</f>
        <v/>
      </c>
      <c r="E23" s="6">
        <f>COUNTIFS('Test Cases'!$E$2:$E$231,$A23,'Test Cases'!$J$2:$J$231,"Blocked")</f>
        <v/>
      </c>
      <c r="F23" s="6">
        <f>COUNTIFS('Test Cases'!$E$2:$E$231,$A23,'Test Cases'!$J$2:$J$231,"Not Run")</f>
        <v/>
      </c>
    </row>
    <row r="24">
      <c r="A24" s="6" t="inlineStr">
        <is>
          <t>Medium</t>
        </is>
      </c>
      <c r="B24" s="6">
        <f>COUNTIF('Test Cases'!$E$2:$E$231,A24)</f>
        <v/>
      </c>
      <c r="C24" s="6">
        <f>COUNTIFS('Test Cases'!$E$2:$E$231,$A24,'Test Cases'!$J$2:$J$231,"Pass")</f>
        <v/>
      </c>
      <c r="D24" s="6">
        <f>COUNTIFS('Test Cases'!$E$2:$E$231,$A24,'Test Cases'!$J$2:$J$231,"Fail")</f>
        <v/>
      </c>
      <c r="E24" s="6">
        <f>COUNTIFS('Test Cases'!$E$2:$E$231,$A24,'Test Cases'!$J$2:$J$231,"Blocked")</f>
        <v/>
      </c>
      <c r="F24" s="6">
        <f>COUNTIFS('Test Cases'!$E$2:$E$231,$A24,'Test Cases'!$J$2:$J$231,"Not Run")</f>
        <v/>
      </c>
    </row>
    <row r="25">
      <c r="A25" s="6" t="inlineStr">
        <is>
          <t>Low</t>
        </is>
      </c>
      <c r="B25" s="6">
        <f>COUNTIF('Test Cases'!$E$2:$E$231,A25)</f>
        <v/>
      </c>
      <c r="C25" s="6">
        <f>COUNTIFS('Test Cases'!$E$2:$E$231,$A25,'Test Cases'!$J$2:$J$231,"Pass")</f>
        <v/>
      </c>
      <c r="D25" s="6">
        <f>COUNTIFS('Test Cases'!$E$2:$E$231,$A25,'Test Cases'!$J$2:$J$231,"Fail")</f>
        <v/>
      </c>
      <c r="E25" s="6">
        <f>COUNTIFS('Test Cases'!$E$2:$E$231,$A25,'Test Cases'!$J$2:$J$231,"Blocked")</f>
        <v/>
      </c>
      <c r="F25" s="6">
        <f>COUNTIFS('Test Cases'!$E$2:$E$231,$A25,'Test Cases'!$J$2:$J$231,"Not Run")</f>
        <v/>
      </c>
    </row>
    <row r="27">
      <c r="A27" s="12" t="inlineStr">
        <is>
          <t>Calculation and status-rule sheets are tracked separately on their own sheets (PASS/FAIL columns).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13" customWidth="1" min="4" max="4"/>
    <col width="9" customWidth="1" min="5" max="5"/>
    <col width="26" customWidth="1" min="6" max="6"/>
    <col width="44" customWidth="1" min="7" max="7"/>
    <col width="24" customWidth="1" min="8" max="8"/>
    <col width="52" customWidth="1" min="9" max="9"/>
    <col width="11" customWidth="1" min="10" max="10"/>
    <col width="30" customWidth="1" min="11" max="11"/>
    <col width="12" customWidth="1" min="12" max="12"/>
    <col width="12" customWidth="1" min="13" max="13"/>
    <col width="24" customWidth="1" min="14" max="14"/>
  </cols>
  <sheetData>
    <row r="1" ht="28" customHeight="1">
      <c r="A1" s="5" t="inlineStr">
        <is>
          <t>Test ID</t>
        </is>
      </c>
      <c r="B1" s="5" t="inlineStr">
        <is>
          <t>Module</t>
        </is>
      </c>
      <c r="C1" s="5" t="inlineStr">
        <is>
          <t>Scenario</t>
        </is>
      </c>
      <c r="D1" s="5" t="inlineStr">
        <is>
          <t>Type</t>
        </is>
      </c>
      <c r="E1" s="5" t="inlineStr">
        <is>
          <t>Priority</t>
        </is>
      </c>
      <c r="F1" s="5" t="inlineStr">
        <is>
          <t>Preconditions</t>
        </is>
      </c>
      <c r="G1" s="5" t="inlineStr">
        <is>
          <t>Test steps</t>
        </is>
      </c>
      <c r="H1" s="5" t="inlineStr">
        <is>
          <t>Test data</t>
        </is>
      </c>
      <c r="I1" s="5" t="inlineStr">
        <is>
          <t>Expected result</t>
        </is>
      </c>
      <c r="J1" s="5" t="inlineStr">
        <is>
          <t>Status</t>
        </is>
      </c>
      <c r="K1" s="5" t="inlineStr">
        <is>
          <t>Actual result</t>
        </is>
      </c>
      <c r="L1" s="5" t="inlineStr">
        <is>
          <t>Tester</t>
        </is>
      </c>
      <c r="M1" s="5" t="inlineStr">
        <is>
          <t>Date</t>
        </is>
      </c>
      <c r="N1" s="5" t="inlineStr">
        <is>
          <t>Remarks</t>
        </is>
      </c>
    </row>
    <row r="2">
      <c r="A2" s="13" t="inlineStr">
        <is>
          <t>AUTH-01</t>
        </is>
      </c>
      <c r="B2" s="14" t="inlineStr">
        <is>
          <t>Login &amp; session</t>
        </is>
      </c>
      <c r="C2" s="14" t="inlineStr">
        <is>
          <t>Login with valid email and password</t>
        </is>
      </c>
      <c r="D2" s="14" t="inlineStr">
        <is>
          <t>Positive</t>
        </is>
      </c>
      <c r="E2" s="14" t="inlineStr">
        <is>
          <t>High</t>
        </is>
      </c>
      <c r="F2" s="14" t="inlineStr">
        <is>
          <t>Active user exists; REQUIRE_OTP=false</t>
        </is>
      </c>
      <c r="G2" s="14" t="inlineStr">
        <is>
          <t>1. Open /login
2. Enter valid email and password
3. Click Sign In</t>
        </is>
      </c>
      <c r="H2" s="14" t="inlineStr">
        <is>
          <t>tech@pokonut.com / valid password</t>
        </is>
      </c>
      <c r="I2" s="14" t="inlineStr">
        <is>
          <t>'Login successful' toast shows and stays after redirect. User lands on MIS Upload. Sidebar shows the user's email and role.</t>
        </is>
      </c>
      <c r="J2" s="15" t="inlineStr">
        <is>
          <t>Not Run</t>
        </is>
      </c>
      <c r="K2" s="15" t="n"/>
      <c r="L2" s="15" t="n"/>
      <c r="M2" s="16" t="n"/>
      <c r="N2" s="15" t="n"/>
    </row>
    <row r="3">
      <c r="A3" s="13" t="inlineStr">
        <is>
          <t>AUTH-02</t>
        </is>
      </c>
      <c r="B3" s="14" t="inlineStr">
        <is>
          <t>Login &amp; session</t>
        </is>
      </c>
      <c r="C3" s="14" t="inlineStr">
        <is>
          <t>Wrong password</t>
        </is>
      </c>
      <c r="D3" s="14" t="inlineStr">
        <is>
          <t>Negative</t>
        </is>
      </c>
      <c r="E3" s="14" t="inlineStr">
        <is>
          <t>High</t>
        </is>
      </c>
      <c r="F3" s="14" t="inlineStr">
        <is>
          <t>Active user exists</t>
        </is>
      </c>
      <c r="G3" s="14" t="inlineStr">
        <is>
          <t>1. Enter valid email, wrong password
2. Click Sign In</t>
        </is>
      </c>
      <c r="H3" s="14" t="inlineStr">
        <is>
          <t>Any wrong password</t>
        </is>
      </c>
      <c r="I3" s="14" t="inlineStr">
        <is>
          <t>Error toast 'Invalid email or password.' User stays on login page. No session created.</t>
        </is>
      </c>
      <c r="J3" s="15" t="inlineStr">
        <is>
          <t>Not Run</t>
        </is>
      </c>
      <c r="K3" s="15" t="n"/>
      <c r="L3" s="15" t="n"/>
      <c r="M3" s="16" t="n"/>
      <c r="N3" s="15" t="n"/>
    </row>
    <row r="4">
      <c r="A4" s="13" t="inlineStr">
        <is>
          <t>AUTH-03</t>
        </is>
      </c>
      <c r="B4" s="14" t="inlineStr">
        <is>
          <t>Login &amp; session</t>
        </is>
      </c>
      <c r="C4" s="14" t="inlineStr">
        <is>
          <t>Unknown email</t>
        </is>
      </c>
      <c r="D4" s="14" t="inlineStr">
        <is>
          <t>Negative</t>
        </is>
      </c>
      <c r="E4" s="14" t="inlineStr">
        <is>
          <t>High</t>
        </is>
      </c>
      <c r="F4" s="14" t="inlineStr">
        <is>
          <t>-</t>
        </is>
      </c>
      <c r="G4" s="14" t="inlineStr">
        <is>
          <t>1. Enter an email that is not registered
2. Click Sign In</t>
        </is>
      </c>
      <c r="H4" s="14" t="inlineStr">
        <is>
          <t>nobody@pokonut.com</t>
        </is>
      </c>
      <c r="I4" s="14" t="inlineStr">
        <is>
          <t>Same generic message as wrong password (does not reveal whether the email exists).</t>
        </is>
      </c>
      <c r="J4" s="15" t="inlineStr">
        <is>
          <t>Not Run</t>
        </is>
      </c>
      <c r="K4" s="15" t="n"/>
      <c r="L4" s="15" t="n"/>
      <c r="M4" s="16" t="n"/>
      <c r="N4" s="15" t="n"/>
    </row>
    <row r="5">
      <c r="A5" s="13" t="inlineStr">
        <is>
          <t>AUTH-04</t>
        </is>
      </c>
      <c r="B5" s="14" t="inlineStr">
        <is>
          <t>Login &amp; session</t>
        </is>
      </c>
      <c r="C5" s="14" t="inlineStr">
        <is>
          <t>Empty email and password</t>
        </is>
      </c>
      <c r="D5" s="14" t="inlineStr">
        <is>
          <t>Negative</t>
        </is>
      </c>
      <c r="E5" s="14" t="inlineStr">
        <is>
          <t>High</t>
        </is>
      </c>
      <c r="F5" s="14" t="inlineStr">
        <is>
          <t>-</t>
        </is>
      </c>
      <c r="G5" s="14" t="inlineStr">
        <is>
          <t>1. Leave both fields empty
2. Click Sign In</t>
        </is>
      </c>
      <c r="H5" s="14" t="inlineStr">
        <is>
          <t>-</t>
        </is>
      </c>
      <c r="I5" s="14" t="inlineStr">
        <is>
          <t>Warning toast 'Missing details'. No API call is made. Button stays full colour (not greyed out).</t>
        </is>
      </c>
      <c r="J5" s="15" t="inlineStr">
        <is>
          <t>Not Run</t>
        </is>
      </c>
      <c r="K5" s="15" t="n"/>
      <c r="L5" s="15" t="n"/>
      <c r="M5" s="16" t="n"/>
      <c r="N5" s="15" t="n"/>
    </row>
    <row r="6">
      <c r="A6" s="13" t="inlineStr">
        <is>
          <t>AUTH-05</t>
        </is>
      </c>
      <c r="B6" s="14" t="inlineStr">
        <is>
          <t>Login &amp; session</t>
        </is>
      </c>
      <c r="C6" s="14" t="inlineStr">
        <is>
          <t>Email only, no password</t>
        </is>
      </c>
      <c r="D6" s="14" t="inlineStr">
        <is>
          <t>Negative</t>
        </is>
      </c>
      <c r="E6" s="14" t="inlineStr">
        <is>
          <t>Medium</t>
        </is>
      </c>
      <c r="F6" s="14" t="inlineStr">
        <is>
          <t>-</t>
        </is>
      </c>
      <c r="G6" s="14" t="inlineStr">
        <is>
          <t>1. Enter email only
2. Click Sign In</t>
        </is>
      </c>
      <c r="H6" s="14" t="inlineStr">
        <is>
          <t>-</t>
        </is>
      </c>
      <c r="I6" s="14" t="inlineStr">
        <is>
          <t>Warning toast 'Missing details'.</t>
        </is>
      </c>
      <c r="J6" s="15" t="inlineStr">
        <is>
          <t>Not Run</t>
        </is>
      </c>
      <c r="K6" s="15" t="n"/>
      <c r="L6" s="15" t="n"/>
      <c r="M6" s="16" t="n"/>
      <c r="N6" s="15" t="n"/>
    </row>
    <row r="7">
      <c r="A7" s="13" t="inlineStr">
        <is>
          <t>AUTH-06</t>
        </is>
      </c>
      <c r="B7" s="14" t="inlineStr">
        <is>
          <t>Login &amp; session</t>
        </is>
      </c>
      <c r="C7" s="14" t="inlineStr">
        <is>
          <t>Password only, no email</t>
        </is>
      </c>
      <c r="D7" s="14" t="inlineStr">
        <is>
          <t>Negative</t>
        </is>
      </c>
      <c r="E7" s="14" t="inlineStr">
        <is>
          <t>Medium</t>
        </is>
      </c>
      <c r="F7" s="14" t="inlineStr">
        <is>
          <t>-</t>
        </is>
      </c>
      <c r="G7" s="14" t="inlineStr">
        <is>
          <t>1. Enter password only
2. Click Sign In</t>
        </is>
      </c>
      <c r="H7" s="14" t="inlineStr">
        <is>
          <t>-</t>
        </is>
      </c>
      <c r="I7" s="14" t="inlineStr">
        <is>
          <t>Warning toast 'Missing details'.</t>
        </is>
      </c>
      <c r="J7" s="15" t="inlineStr">
        <is>
          <t>Not Run</t>
        </is>
      </c>
      <c r="K7" s="15" t="n"/>
      <c r="L7" s="15" t="n"/>
      <c r="M7" s="16" t="n"/>
      <c r="N7" s="15" t="n"/>
    </row>
    <row r="8">
      <c r="A8" s="13" t="inlineStr">
        <is>
          <t>AUTH-07</t>
        </is>
      </c>
      <c r="B8" s="14" t="inlineStr">
        <is>
          <t>Login &amp; session</t>
        </is>
      </c>
      <c r="C8" s="14" t="inlineStr">
        <is>
          <t>Show/hide password eye icon</t>
        </is>
      </c>
      <c r="D8" s="14" t="inlineStr">
        <is>
          <t>Positive</t>
        </is>
      </c>
      <c r="E8" s="14" t="inlineStr">
        <is>
          <t>Medium</t>
        </is>
      </c>
      <c r="F8" s="14" t="inlineStr">
        <is>
          <t>-</t>
        </is>
      </c>
      <c r="G8" s="14" t="inlineStr">
        <is>
          <t>1. Type a password
2. Click the eye icon
3. Click it again</t>
        </is>
      </c>
      <c r="H8" s="14" t="inlineStr">
        <is>
          <t>-</t>
        </is>
      </c>
      <c r="I8" s="14" t="inlineStr">
        <is>
          <t>Password becomes visible, then hidden again. Password box is the same width as the email box.</t>
        </is>
      </c>
      <c r="J8" s="15" t="inlineStr">
        <is>
          <t>Not Run</t>
        </is>
      </c>
      <c r="K8" s="15" t="n"/>
      <c r="L8" s="15" t="n"/>
      <c r="M8" s="16" t="n"/>
      <c r="N8" s="15" t="n"/>
    </row>
    <row r="9">
      <c r="A9" s="13" t="inlineStr">
        <is>
          <t>AUTH-08</t>
        </is>
      </c>
      <c r="B9" s="14" t="inlineStr">
        <is>
          <t>Login &amp; session</t>
        </is>
      </c>
      <c r="C9" s="14" t="inlineStr">
        <is>
          <t>Submit with Enter key</t>
        </is>
      </c>
      <c r="D9" s="14" t="inlineStr">
        <is>
          <t>Positive</t>
        </is>
      </c>
      <c r="E9" s="14" t="inlineStr">
        <is>
          <t>Low</t>
        </is>
      </c>
      <c r="F9" s="14" t="inlineStr">
        <is>
          <t>-</t>
        </is>
      </c>
      <c r="G9" s="14" t="inlineStr">
        <is>
          <t>1. Fill both fields
2. Press Enter in the password field</t>
        </is>
      </c>
      <c r="H9" s="14" t="inlineStr">
        <is>
          <t>-</t>
        </is>
      </c>
      <c r="I9" s="14" t="inlineStr">
        <is>
          <t>Same result as clicking Sign In.</t>
        </is>
      </c>
      <c r="J9" s="15" t="inlineStr">
        <is>
          <t>Not Run</t>
        </is>
      </c>
      <c r="K9" s="15" t="n"/>
      <c r="L9" s="15" t="n"/>
      <c r="M9" s="16" t="n"/>
      <c r="N9" s="15" t="n"/>
    </row>
    <row r="10">
      <c r="A10" s="13" t="inlineStr">
        <is>
          <t>AUTH-09</t>
        </is>
      </c>
      <c r="B10" s="14" t="inlineStr">
        <is>
          <t>Login &amp; session</t>
        </is>
      </c>
      <c r="C10" s="14" t="inlineStr">
        <is>
          <t>Email is case-insensitive</t>
        </is>
      </c>
      <c r="D10" s="14" t="inlineStr">
        <is>
          <t>Edge</t>
        </is>
      </c>
      <c r="E10" s="14" t="inlineStr">
        <is>
          <t>Medium</t>
        </is>
      </c>
      <c r="F10" s="14" t="inlineStr">
        <is>
          <t>User tech@pokonut.com exists</t>
        </is>
      </c>
      <c r="G10" s="14" t="inlineStr">
        <is>
          <t>1. Enter TECH@Pokonut.COM and the correct password</t>
        </is>
      </c>
      <c r="H10" s="14" t="inlineStr">
        <is>
          <t>TECH@Pokonut.COM</t>
        </is>
      </c>
      <c r="I10" s="14" t="inlineStr">
        <is>
          <t>Login succeeds.</t>
        </is>
      </c>
      <c r="J10" s="15" t="inlineStr">
        <is>
          <t>Not Run</t>
        </is>
      </c>
      <c r="K10" s="15" t="n"/>
      <c r="L10" s="15" t="n"/>
      <c r="M10" s="16" t="n"/>
      <c r="N10" s="15" t="n"/>
    </row>
    <row r="11">
      <c r="A11" s="13" t="inlineStr">
        <is>
          <t>AUTH-10</t>
        </is>
      </c>
      <c r="B11" s="14" t="inlineStr">
        <is>
          <t>Login &amp; session</t>
        </is>
      </c>
      <c r="C11" s="14" t="inlineStr">
        <is>
          <t>Email with leading/trailing spaces</t>
        </is>
      </c>
      <c r="D11" s="14" t="inlineStr">
        <is>
          <t>Edge</t>
        </is>
      </c>
      <c r="E11" s="14" t="inlineStr">
        <is>
          <t>Low</t>
        </is>
      </c>
      <c r="F11" s="14" t="inlineStr">
        <is>
          <t>-</t>
        </is>
      </c>
      <c r="G11" s="14" t="inlineStr">
        <is>
          <t>1. Enter ' tech@pokonut.com ' with spaces
2. Sign in</t>
        </is>
      </c>
      <c r="H11" s="14" t="inlineStr">
        <is>
          <t>-</t>
        </is>
      </c>
      <c r="I11" s="14" t="inlineStr">
        <is>
          <t>Login succeeds or shows a clear validation message (no crash).</t>
        </is>
      </c>
      <c r="J11" s="15" t="inlineStr">
        <is>
          <t>Not Run</t>
        </is>
      </c>
      <c r="K11" s="15" t="n"/>
      <c r="L11" s="15" t="n"/>
      <c r="M11" s="16" t="n"/>
      <c r="N11" s="15" t="n"/>
    </row>
    <row r="12">
      <c r="A12" s="13" t="inlineStr">
        <is>
          <t>AUTH-11</t>
        </is>
      </c>
      <c r="B12" s="14" t="inlineStr">
        <is>
          <t>Login &amp; session</t>
        </is>
      </c>
      <c r="C12" s="14" t="inlineStr">
        <is>
          <t>Deactivated user cannot log in</t>
        </is>
      </c>
      <c r="D12" s="14" t="inlineStr">
        <is>
          <t>Negative</t>
        </is>
      </c>
      <c r="E12" s="14" t="inlineStr">
        <is>
          <t>High</t>
        </is>
      </c>
      <c r="F12" s="14" t="inlineStr">
        <is>
          <t>A user with Active = off</t>
        </is>
      </c>
      <c r="G12" s="14" t="inlineStr">
        <is>
          <t>1. Log in as the deactivated user</t>
        </is>
      </c>
      <c r="H12" s="14" t="inlineStr">
        <is>
          <t>-</t>
        </is>
      </c>
      <c r="I12" s="14" t="inlineStr">
        <is>
          <t>Login is refused with an error. No session cookie set.</t>
        </is>
      </c>
      <c r="J12" s="15" t="inlineStr">
        <is>
          <t>Not Run</t>
        </is>
      </c>
      <c r="K12" s="15" t="n"/>
      <c r="L12" s="15" t="n"/>
      <c r="M12" s="16" t="n"/>
      <c r="N12" s="15" t="n"/>
    </row>
    <row r="13">
      <c r="A13" s="13" t="inlineStr">
        <is>
          <t>AUTH-12</t>
        </is>
      </c>
      <c r="B13" s="14" t="inlineStr">
        <is>
          <t>Login &amp; session</t>
        </is>
      </c>
      <c r="C13" s="14" t="inlineStr">
        <is>
          <t>Repeated failed logins are rate limited</t>
        </is>
      </c>
      <c r="D13" s="14" t="inlineStr">
        <is>
          <t>Security</t>
        </is>
      </c>
      <c r="E13" s="14" t="inlineStr">
        <is>
          <t>High</t>
        </is>
      </c>
      <c r="F13" s="14" t="inlineStr">
        <is>
          <t>-</t>
        </is>
      </c>
      <c r="G13" s="14" t="inlineStr">
        <is>
          <t>1. Submit wrong passwords many times in a row</t>
        </is>
      </c>
      <c r="H13" s="14" t="inlineStr">
        <is>
          <t>10+ attempts within a minute</t>
        </is>
      </c>
      <c r="I13" s="14" t="inlineStr">
        <is>
          <t>Server responds with 429 / too many attempts message. Normal login works again after the window.</t>
        </is>
      </c>
      <c r="J13" s="15" t="inlineStr">
        <is>
          <t>Not Run</t>
        </is>
      </c>
      <c r="K13" s="15" t="n"/>
      <c r="L13" s="15" t="n"/>
      <c r="M13" s="16" t="n"/>
      <c r="N13" s="15" t="n"/>
    </row>
    <row r="14">
      <c r="A14" s="13" t="inlineStr">
        <is>
          <t>AUTH-13</t>
        </is>
      </c>
      <c r="B14" s="14" t="inlineStr">
        <is>
          <t>Login &amp; session</t>
        </is>
      </c>
      <c r="C14" s="14" t="inlineStr">
        <is>
          <t>Session survives page refresh</t>
        </is>
      </c>
      <c r="D14" s="14" t="inlineStr">
        <is>
          <t>Positive</t>
        </is>
      </c>
      <c r="E14" s="14" t="inlineStr">
        <is>
          <t>High</t>
        </is>
      </c>
      <c r="F14" s="14" t="inlineStr">
        <is>
          <t>Logged in</t>
        </is>
      </c>
      <c r="G14" s="14" t="inlineStr">
        <is>
          <t>1. Press F5 on any page</t>
        </is>
      </c>
      <c r="H14" s="14" t="inlineStr">
        <is>
          <t>-</t>
        </is>
      </c>
      <c r="I14" s="14" t="inlineStr">
        <is>
          <t>User stays logged in on the same page.</t>
        </is>
      </c>
      <c r="J14" s="15" t="inlineStr">
        <is>
          <t>Not Run</t>
        </is>
      </c>
      <c r="K14" s="15" t="n"/>
      <c r="L14" s="15" t="n"/>
      <c r="M14" s="16" t="n"/>
      <c r="N14" s="15" t="n"/>
    </row>
    <row r="15">
      <c r="A15" s="13" t="inlineStr">
        <is>
          <t>AUTH-14</t>
        </is>
      </c>
      <c r="B15" s="14" t="inlineStr">
        <is>
          <t>Login &amp; session</t>
        </is>
      </c>
      <c r="C15" s="14" t="inlineStr">
        <is>
          <t>Logout</t>
        </is>
      </c>
      <c r="D15" s="14" t="inlineStr">
        <is>
          <t>Positive</t>
        </is>
      </c>
      <c r="E15" s="14" t="inlineStr">
        <is>
          <t>High</t>
        </is>
      </c>
      <c r="F15" s="14" t="inlineStr">
        <is>
          <t>Logged in</t>
        </is>
      </c>
      <c r="G15" s="14" t="inlineStr">
        <is>
          <t>1. Click Logout in the sidebar
2. Press browser Back</t>
        </is>
      </c>
      <c r="H15" s="14" t="inlineStr">
        <is>
          <t>-</t>
        </is>
      </c>
      <c r="I15" s="14" t="inlineStr">
        <is>
          <t>Redirected to login. Back button does not show protected pages. Session cookie cleared.</t>
        </is>
      </c>
      <c r="J15" s="15" t="inlineStr">
        <is>
          <t>Not Run</t>
        </is>
      </c>
      <c r="K15" s="15" t="n"/>
      <c r="L15" s="15" t="n"/>
      <c r="M15" s="16" t="n"/>
      <c r="N15" s="15" t="n"/>
    </row>
    <row r="16">
      <c r="A16" s="13" t="inlineStr">
        <is>
          <t>AUTH-15</t>
        </is>
      </c>
      <c r="B16" s="14" t="inlineStr">
        <is>
          <t>Login &amp; session</t>
        </is>
      </c>
      <c r="C16" s="14" t="inlineStr">
        <is>
          <t>Open protected page without login</t>
        </is>
      </c>
      <c r="D16" s="14" t="inlineStr">
        <is>
          <t>Security</t>
        </is>
      </c>
      <c r="E16" s="14" t="inlineStr">
        <is>
          <t>High</t>
        </is>
      </c>
      <c r="F16" s="14" t="inlineStr">
        <is>
          <t>Logged out</t>
        </is>
      </c>
      <c r="G16" s="14" t="inlineStr">
        <is>
          <t>1. Open /mis-upload, /reconciliation, /admin/users directly</t>
        </is>
      </c>
      <c r="H16" s="14" t="inlineStr">
        <is>
          <t>-</t>
        </is>
      </c>
      <c r="I16" s="14" t="inlineStr">
        <is>
          <t>Each redirects to /login.</t>
        </is>
      </c>
      <c r="J16" s="15" t="inlineStr">
        <is>
          <t>Not Run</t>
        </is>
      </c>
      <c r="K16" s="15" t="n"/>
      <c r="L16" s="15" t="n"/>
      <c r="M16" s="16" t="n"/>
      <c r="N16" s="15" t="n"/>
    </row>
    <row r="17">
      <c r="A17" s="13" t="inlineStr">
        <is>
          <t>AUTH-16</t>
        </is>
      </c>
      <c r="B17" s="14" t="inlineStr">
        <is>
          <t>Login &amp; session</t>
        </is>
      </c>
      <c r="C17" s="14" t="inlineStr">
        <is>
          <t>Session expires after configured hours</t>
        </is>
      </c>
      <c r="D17" s="14" t="inlineStr">
        <is>
          <t>Edge</t>
        </is>
      </c>
      <c r="E17" s="14" t="inlineStr">
        <is>
          <t>Medium</t>
        </is>
      </c>
      <c r="F17" s="14" t="inlineStr">
        <is>
          <t>SESSION_HOURS set low (e.g. 1) for the test</t>
        </is>
      </c>
      <c r="G17" s="14" t="inlineStr">
        <is>
          <t>1. Log in
2. Wait past expiry
3. Click any page</t>
        </is>
      </c>
      <c r="H17" s="14" t="inlineStr">
        <is>
          <t>-</t>
        </is>
      </c>
      <c r="I17" s="14" t="inlineStr">
        <is>
          <t>User is sent back to login; no broken/blank screen.</t>
        </is>
      </c>
      <c r="J17" s="15" t="inlineStr">
        <is>
          <t>Not Run</t>
        </is>
      </c>
      <c r="K17" s="15" t="n"/>
      <c r="L17" s="15" t="n"/>
      <c r="M17" s="16" t="n"/>
      <c r="N17" s="15" t="n"/>
    </row>
    <row r="18">
      <c r="A18" s="13" t="inlineStr">
        <is>
          <t>AUTH-17</t>
        </is>
      </c>
      <c r="B18" s="14" t="inlineStr">
        <is>
          <t>Login &amp; session</t>
        </is>
      </c>
      <c r="C18" s="14" t="inlineStr">
        <is>
          <t>Login when server is down</t>
        </is>
      </c>
      <c r="D18" s="14" t="inlineStr">
        <is>
          <t>Negative</t>
        </is>
      </c>
      <c r="E18" s="14" t="inlineStr">
        <is>
          <t>Medium</t>
        </is>
      </c>
      <c r="F18" s="14" t="inlineStr">
        <is>
          <t>Backend stopped</t>
        </is>
      </c>
      <c r="G18" s="14" t="inlineStr">
        <is>
          <t>1. Try to log in</t>
        </is>
      </c>
      <c r="H18" s="14" t="inlineStr">
        <is>
          <t>-</t>
        </is>
      </c>
      <c r="I18" s="14" t="inlineStr">
        <is>
          <t>Clear error toast (not a blank page or infinite spinner).</t>
        </is>
      </c>
      <c r="J18" s="15" t="inlineStr">
        <is>
          <t>Not Run</t>
        </is>
      </c>
      <c r="K18" s="15" t="n"/>
      <c r="L18" s="15" t="n"/>
      <c r="M18" s="16" t="n"/>
      <c r="N18" s="15" t="n"/>
    </row>
    <row r="19">
      <c r="A19" s="13" t="inlineStr">
        <is>
          <t>AUTH-18</t>
        </is>
      </c>
      <c r="B19" s="14" t="inlineStr">
        <is>
          <t>Login &amp; session</t>
        </is>
      </c>
      <c r="C19" s="14" t="inlineStr">
        <is>
          <t>OTP mode: correct OTP</t>
        </is>
      </c>
      <c r="D19" s="14" t="inlineStr">
        <is>
          <t>Positive</t>
        </is>
      </c>
      <c r="E19" s="14" t="inlineStr">
        <is>
          <t>High</t>
        </is>
      </c>
      <c r="F19" s="14" t="inlineStr">
        <is>
          <t>REQUIRE_OTP=true and SMTP working</t>
        </is>
      </c>
      <c r="G19" s="14" t="inlineStr">
        <is>
          <t>1. Enter password
2. Receive email
3. Enter the 6-digit code</t>
        </is>
      </c>
      <c r="H19" s="14" t="inlineStr">
        <is>
          <t>-</t>
        </is>
      </c>
      <c r="I19" s="14" t="inlineStr">
        <is>
          <t>Login succeeds after the correct code; 'Login successful' toast shows.</t>
        </is>
      </c>
      <c r="J19" s="15" t="inlineStr">
        <is>
          <t>Not Run</t>
        </is>
      </c>
      <c r="K19" s="15" t="n"/>
      <c r="L19" s="15" t="n"/>
      <c r="M19" s="16" t="n"/>
      <c r="N19" s="15" t="n"/>
    </row>
    <row r="20">
      <c r="A20" s="13" t="inlineStr">
        <is>
          <t>AUTH-19</t>
        </is>
      </c>
      <c r="B20" s="14" t="inlineStr">
        <is>
          <t>Login &amp; session</t>
        </is>
      </c>
      <c r="C20" s="14" t="inlineStr">
        <is>
          <t>OTP mode: wrong OTP</t>
        </is>
      </c>
      <c r="D20" s="14" t="inlineStr">
        <is>
          <t>Negative</t>
        </is>
      </c>
      <c r="E20" s="14" t="inlineStr">
        <is>
          <t>High</t>
        </is>
      </c>
      <c r="F20" s="14" t="inlineStr">
        <is>
          <t>REQUIRE_OTP=true</t>
        </is>
      </c>
      <c r="G20" s="14" t="inlineStr">
        <is>
          <t>1. Enter a wrong code</t>
        </is>
      </c>
      <c r="H20" s="14" t="inlineStr">
        <is>
          <t>000000</t>
        </is>
      </c>
      <c r="I20" s="14" t="inlineStr">
        <is>
          <t>Error 'Incorrect code'. Attempts are counted.</t>
        </is>
      </c>
      <c r="J20" s="15" t="inlineStr">
        <is>
          <t>Not Run</t>
        </is>
      </c>
      <c r="K20" s="15" t="n"/>
      <c r="L20" s="15" t="n"/>
      <c r="M20" s="16" t="n"/>
      <c r="N20" s="15" t="n"/>
    </row>
    <row r="21">
      <c r="A21" s="13" t="inlineStr">
        <is>
          <t>AUTH-20</t>
        </is>
      </c>
      <c r="B21" s="14" t="inlineStr">
        <is>
          <t>Login &amp; session</t>
        </is>
      </c>
      <c r="C21" s="14" t="inlineStr">
        <is>
          <t>OTP mode: expired OTP</t>
        </is>
      </c>
      <c r="D21" s="14" t="inlineStr">
        <is>
          <t>Edge</t>
        </is>
      </c>
      <c r="E21" s="14" t="inlineStr">
        <is>
          <t>Medium</t>
        </is>
      </c>
      <c r="F21" s="14" t="inlineStr">
        <is>
          <t>REQUIRE_OTP=true</t>
        </is>
      </c>
      <c r="G21" s="14" t="inlineStr">
        <is>
          <t>1. Request OTP
2. Wait more than 5 minutes
3. Enter it</t>
        </is>
      </c>
      <c r="H21" s="14" t="inlineStr">
        <is>
          <t>-</t>
        </is>
      </c>
      <c r="I21" s="14" t="inlineStr">
        <is>
          <t>Code rejected as expired.</t>
        </is>
      </c>
      <c r="J21" s="15" t="inlineStr">
        <is>
          <t>Not Run</t>
        </is>
      </c>
      <c r="K21" s="15" t="n"/>
      <c r="L21" s="15" t="n"/>
      <c r="M21" s="16" t="n"/>
      <c r="N21" s="15" t="n"/>
    </row>
    <row r="22">
      <c r="A22" s="13" t="inlineStr">
        <is>
          <t>AUTH-21</t>
        </is>
      </c>
      <c r="B22" s="14" t="inlineStr">
        <is>
          <t>Login &amp; session</t>
        </is>
      </c>
      <c r="C22" s="14" t="inlineStr">
        <is>
          <t>OTP mode: max attempts</t>
        </is>
      </c>
      <c r="D22" s="14" t="inlineStr">
        <is>
          <t>Security</t>
        </is>
      </c>
      <c r="E22" s="14" t="inlineStr">
        <is>
          <t>Medium</t>
        </is>
      </c>
      <c r="F22" s="14" t="inlineStr">
        <is>
          <t>REQUIRE_OTP=true</t>
        </is>
      </c>
      <c r="G22" s="14" t="inlineStr">
        <is>
          <t>1. Enter wrong code 5+ times</t>
        </is>
      </c>
      <c r="H22" s="14" t="inlineStr">
        <is>
          <t>-</t>
        </is>
      </c>
      <c r="I22" s="14" t="inlineStr">
        <is>
          <t>Further attempts are blocked until a new code is requested.</t>
        </is>
      </c>
      <c r="J22" s="15" t="inlineStr">
        <is>
          <t>Not Run</t>
        </is>
      </c>
      <c r="K22" s="15" t="n"/>
      <c r="L22" s="15" t="n"/>
      <c r="M22" s="16" t="n"/>
      <c r="N22" s="15" t="n"/>
    </row>
    <row r="23">
      <c r="A23" s="13" t="inlineStr">
        <is>
          <t>AUTH-22</t>
        </is>
      </c>
      <c r="B23" s="14" t="inlineStr">
        <is>
          <t>Login &amp; session</t>
        </is>
      </c>
      <c r="C23" s="14" t="inlineStr">
        <is>
          <t>OTP mode: resend cooldown</t>
        </is>
      </c>
      <c r="D23" s="14" t="inlineStr">
        <is>
          <t>Edge</t>
        </is>
      </c>
      <c r="E23" s="14" t="inlineStr">
        <is>
          <t>Low</t>
        </is>
      </c>
      <c r="F23" s="14" t="inlineStr">
        <is>
          <t>REQUIRE_OTP=true</t>
        </is>
      </c>
      <c r="G23" s="14" t="inlineStr">
        <is>
          <t>1. Request OTP
2. Immediately request again</t>
        </is>
      </c>
      <c r="H23" s="14" t="inlineStr">
        <is>
          <t>-</t>
        </is>
      </c>
      <c r="I23" s="14" t="inlineStr">
        <is>
          <t>Second request refused for about 60 seconds.</t>
        </is>
      </c>
      <c r="J23" s="15" t="inlineStr">
        <is>
          <t>Not Run</t>
        </is>
      </c>
      <c r="K23" s="15" t="n"/>
      <c r="L23" s="15" t="n"/>
      <c r="M23" s="16" t="n"/>
      <c r="N23" s="15" t="n"/>
    </row>
    <row r="24">
      <c r="A24" s="13" t="inlineStr">
        <is>
          <t>AUTH-23</t>
        </is>
      </c>
      <c r="B24" s="14" t="inlineStr">
        <is>
          <t>Login &amp; session</t>
        </is>
      </c>
      <c r="C24" s="14" t="inlineStr">
        <is>
          <t>OTP mode: SMTP failure does not crash server</t>
        </is>
      </c>
      <c r="D24" s="14" t="inlineStr">
        <is>
          <t>Negative</t>
        </is>
      </c>
      <c r="E24" s="14" t="inlineStr">
        <is>
          <t>High</t>
        </is>
      </c>
      <c r="F24" s="14" t="inlineStr">
        <is>
          <t>REQUIRE_OTP=true with wrong SMTP password</t>
        </is>
      </c>
      <c r="G24" s="14" t="inlineStr">
        <is>
          <t>1. Sign in with correct password</t>
        </is>
      </c>
      <c r="H24" s="14" t="inlineStr">
        <is>
          <t>-</t>
        </is>
      </c>
      <c r="I24" s="14" t="inlineStr">
        <is>
          <t>Error message is shown (502) and the backend keeps running.</t>
        </is>
      </c>
      <c r="J24" s="15" t="inlineStr">
        <is>
          <t>Not Run</t>
        </is>
      </c>
      <c r="K24" s="15" t="n"/>
      <c r="L24" s="15" t="n"/>
      <c r="M24" s="16" t="n"/>
      <c r="N24" s="15" t="n"/>
    </row>
    <row r="25">
      <c r="A25" s="13" t="inlineStr">
        <is>
          <t>AUTH-24</t>
        </is>
      </c>
      <c r="B25" s="14" t="inlineStr">
        <is>
          <t>Login &amp; session</t>
        </is>
      </c>
      <c r="C25" s="14" t="inlineStr">
        <is>
          <t>OTP disabled</t>
        </is>
      </c>
      <c r="D25" s="14" t="inlineStr">
        <is>
          <t>Positive</t>
        </is>
      </c>
      <c r="E25" s="14" t="inlineStr">
        <is>
          <t>Medium</t>
        </is>
      </c>
      <c r="F25" s="14" t="inlineStr">
        <is>
          <t>REQUIRE_OTP=false</t>
        </is>
      </c>
      <c r="G25" s="14" t="inlineStr">
        <is>
          <t>1. Sign in</t>
        </is>
      </c>
      <c r="H25" s="14" t="inlineStr">
        <is>
          <t>-</t>
        </is>
      </c>
      <c r="I25" s="14" t="inlineStr">
        <is>
          <t>No OTP step is shown; password alone logs in.</t>
        </is>
      </c>
      <c r="J25" s="15" t="inlineStr">
        <is>
          <t>Not Run</t>
        </is>
      </c>
      <c r="K25" s="15" t="n"/>
      <c r="L25" s="15" t="n"/>
      <c r="M25" s="16" t="n"/>
      <c r="N25" s="15" t="n"/>
    </row>
    <row r="26">
      <c r="A26" s="13" t="inlineStr">
        <is>
          <t>PWD-01</t>
        </is>
      </c>
      <c r="B26" s="14" t="inlineStr">
        <is>
          <t>Change password</t>
        </is>
      </c>
      <c r="C26" s="14" t="inlineStr">
        <is>
          <t>Change password successfully</t>
        </is>
      </c>
      <c r="D26" s="14" t="inlineStr">
        <is>
          <t>Positive</t>
        </is>
      </c>
      <c r="E26" s="14" t="inlineStr">
        <is>
          <t>High</t>
        </is>
      </c>
      <c r="F26" s="14" t="inlineStr">
        <is>
          <t>Logged in</t>
        </is>
      </c>
      <c r="G26" s="14" t="inlineStr">
        <is>
          <t>1. Open Change Password
2. Enter current, new (8+ chars), confirm
3. Submit</t>
        </is>
      </c>
      <c r="H26" s="14" t="inlineStr">
        <is>
          <t>New password: Test@12345</t>
        </is>
      </c>
      <c r="I26" s="14" t="inlineStr">
        <is>
          <t>Success message. Log out and log in with the new password works; the old password no longer works.</t>
        </is>
      </c>
      <c r="J26" s="15" t="inlineStr">
        <is>
          <t>Not Run</t>
        </is>
      </c>
      <c r="K26" s="15" t="n"/>
      <c r="L26" s="15" t="n"/>
      <c r="M26" s="16" t="n"/>
      <c r="N26" s="15" t="n"/>
    </row>
    <row r="27">
      <c r="A27" s="13" t="inlineStr">
        <is>
          <t>PWD-02</t>
        </is>
      </c>
      <c r="B27" s="14" t="inlineStr">
        <is>
          <t>Change password</t>
        </is>
      </c>
      <c r="C27" s="14" t="inlineStr">
        <is>
          <t>Wrong current password</t>
        </is>
      </c>
      <c r="D27" s="14" t="inlineStr">
        <is>
          <t>Negative</t>
        </is>
      </c>
      <c r="E27" s="14" t="inlineStr">
        <is>
          <t>High</t>
        </is>
      </c>
      <c r="F27" s="14" t="inlineStr">
        <is>
          <t>Logged in</t>
        </is>
      </c>
      <c r="G27" s="14" t="inlineStr">
        <is>
          <t>1. Enter a wrong current password
2. Submit</t>
        </is>
      </c>
      <c r="H27" s="14" t="inlineStr">
        <is>
          <t>-</t>
        </is>
      </c>
      <c r="I27" s="14" t="inlineStr">
        <is>
          <t>Error message; password is not changed.</t>
        </is>
      </c>
      <c r="J27" s="15" t="inlineStr">
        <is>
          <t>Not Run</t>
        </is>
      </c>
      <c r="K27" s="15" t="n"/>
      <c r="L27" s="15" t="n"/>
      <c r="M27" s="16" t="n"/>
      <c r="N27" s="15" t="n"/>
    </row>
    <row r="28">
      <c r="A28" s="13" t="inlineStr">
        <is>
          <t>PWD-03</t>
        </is>
      </c>
      <c r="B28" s="14" t="inlineStr">
        <is>
          <t>Change password</t>
        </is>
      </c>
      <c r="C28" s="14" t="inlineStr">
        <is>
          <t>New password shorter than 8 characters</t>
        </is>
      </c>
      <c r="D28" s="14" t="inlineStr">
        <is>
          <t>Negative</t>
        </is>
      </c>
      <c r="E28" s="14" t="inlineStr">
        <is>
          <t>High</t>
        </is>
      </c>
      <c r="F28" s="14" t="inlineStr">
        <is>
          <t>Logged in</t>
        </is>
      </c>
      <c r="G28" s="14" t="inlineStr">
        <is>
          <t>1. Enter new password 'abc123'</t>
        </is>
      </c>
      <c r="H28" s="14" t="inlineStr">
        <is>
          <t>abc123</t>
        </is>
      </c>
      <c r="I28" s="14" t="inlineStr">
        <is>
          <t>Error 'New password must be at least 8 characters.'</t>
        </is>
      </c>
      <c r="J28" s="15" t="inlineStr">
        <is>
          <t>Not Run</t>
        </is>
      </c>
      <c r="K28" s="15" t="n"/>
      <c r="L28" s="15" t="n"/>
      <c r="M28" s="16" t="n"/>
      <c r="N28" s="15" t="n"/>
    </row>
    <row r="29">
      <c r="A29" s="13" t="inlineStr">
        <is>
          <t>PWD-04</t>
        </is>
      </c>
      <c r="B29" s="14" t="inlineStr">
        <is>
          <t>Change password</t>
        </is>
      </c>
      <c r="C29" s="14" t="inlineStr">
        <is>
          <t>Confirmation does not match</t>
        </is>
      </c>
      <c r="D29" s="14" t="inlineStr">
        <is>
          <t>Negative</t>
        </is>
      </c>
      <c r="E29" s="14" t="inlineStr">
        <is>
          <t>High</t>
        </is>
      </c>
      <c r="F29" s="14" t="inlineStr">
        <is>
          <t>Logged in</t>
        </is>
      </c>
      <c r="G29" s="14" t="inlineStr">
        <is>
          <t>1. Enter different new and confirm values</t>
        </is>
      </c>
      <c r="H29" s="14" t="inlineStr">
        <is>
          <t>-</t>
        </is>
      </c>
      <c r="I29" s="14" t="inlineStr">
        <is>
          <t>Error 'New password and confirmation do not match.'</t>
        </is>
      </c>
      <c r="J29" s="15" t="inlineStr">
        <is>
          <t>Not Run</t>
        </is>
      </c>
      <c r="K29" s="15" t="n"/>
      <c r="L29" s="15" t="n"/>
      <c r="M29" s="16" t="n"/>
      <c r="N29" s="15" t="n"/>
    </row>
    <row r="30">
      <c r="A30" s="13" t="inlineStr">
        <is>
          <t>PWD-05</t>
        </is>
      </c>
      <c r="B30" s="14" t="inlineStr">
        <is>
          <t>Change password</t>
        </is>
      </c>
      <c r="C30" s="14" t="inlineStr">
        <is>
          <t>Empty fields</t>
        </is>
      </c>
      <c r="D30" s="14" t="inlineStr">
        <is>
          <t>Negative</t>
        </is>
      </c>
      <c r="E30" s="14" t="inlineStr">
        <is>
          <t>Medium</t>
        </is>
      </c>
      <c r="F30" s="14" t="inlineStr">
        <is>
          <t>Logged in</t>
        </is>
      </c>
      <c r="G30" s="14" t="inlineStr">
        <is>
          <t>1. Leave fields empty</t>
        </is>
      </c>
      <c r="H30" s="14" t="inlineStr">
        <is>
          <t>-</t>
        </is>
      </c>
      <c r="I30" s="14" t="inlineStr">
        <is>
          <t>Submit button is disabled or a clear validation message appears.</t>
        </is>
      </c>
      <c r="J30" s="15" t="inlineStr">
        <is>
          <t>Not Run</t>
        </is>
      </c>
      <c r="K30" s="15" t="n"/>
      <c r="L30" s="15" t="n"/>
      <c r="M30" s="16" t="n"/>
      <c r="N30" s="15" t="n"/>
    </row>
    <row r="31">
      <c r="A31" s="13" t="inlineStr">
        <is>
          <t>PWD-06</t>
        </is>
      </c>
      <c r="B31" s="14" t="inlineStr">
        <is>
          <t>Change password</t>
        </is>
      </c>
      <c r="C31" s="14" t="inlineStr">
        <is>
          <t>Eye icons on all three password fields</t>
        </is>
      </c>
      <c r="D31" s="14" t="inlineStr">
        <is>
          <t>Positive</t>
        </is>
      </c>
      <c r="E31" s="14" t="inlineStr">
        <is>
          <t>Low</t>
        </is>
      </c>
      <c r="F31" s="14" t="inlineStr">
        <is>
          <t>Logged in</t>
        </is>
      </c>
      <c r="G31" s="14" t="inlineStr">
        <is>
          <t>1. Click each eye icon</t>
        </is>
      </c>
      <c r="H31" s="14" t="inlineStr">
        <is>
          <t>-</t>
        </is>
      </c>
      <c r="I31" s="14" t="inlineStr">
        <is>
          <t>Each field toggles visibility independently.</t>
        </is>
      </c>
      <c r="J31" s="15" t="inlineStr">
        <is>
          <t>Not Run</t>
        </is>
      </c>
      <c r="K31" s="15" t="n"/>
      <c r="L31" s="15" t="n"/>
      <c r="M31" s="16" t="n"/>
      <c r="N31" s="15" t="n"/>
    </row>
    <row r="32">
      <c r="A32" s="13" t="inlineStr">
        <is>
          <t>PWD-07</t>
        </is>
      </c>
      <c r="B32" s="14" t="inlineStr">
        <is>
          <t>Change password</t>
        </is>
      </c>
      <c r="C32" s="14" t="inlineStr">
        <is>
          <t>New password equals current password</t>
        </is>
      </c>
      <c r="D32" s="14" t="inlineStr">
        <is>
          <t>Edge</t>
        </is>
      </c>
      <c r="E32" s="14" t="inlineStr">
        <is>
          <t>Low</t>
        </is>
      </c>
      <c r="F32" s="14" t="inlineStr">
        <is>
          <t>Logged in</t>
        </is>
      </c>
      <c r="G32" s="14" t="inlineStr">
        <is>
          <t>1. Use the same password for current and new</t>
        </is>
      </c>
      <c r="H32" s="14" t="inlineStr">
        <is>
          <t>-</t>
        </is>
      </c>
      <c r="I32" s="14" t="inlineStr">
        <is>
          <t>Either accepted or rejected with a clear message (note the actual behaviour).</t>
        </is>
      </c>
      <c r="J32" s="15" t="inlineStr">
        <is>
          <t>Not Run</t>
        </is>
      </c>
      <c r="K32" s="15" t="n"/>
      <c r="L32" s="15" t="n"/>
      <c r="M32" s="16" t="n"/>
      <c r="N32" s="15" t="n"/>
    </row>
    <row r="33">
      <c r="A33" s="13" t="inlineStr">
        <is>
          <t>USR-01</t>
        </is>
      </c>
      <c r="B33" s="14" t="inlineStr">
        <is>
          <t>User management (admin)</t>
        </is>
      </c>
      <c r="C33" s="14" t="inlineStr">
        <is>
          <t>Create user with valid details</t>
        </is>
      </c>
      <c r="D33" s="14" t="inlineStr">
        <is>
          <t>Positive</t>
        </is>
      </c>
      <c r="E33" s="14" t="inlineStr">
        <is>
          <t>High</t>
        </is>
      </c>
      <c r="F33" s="14" t="inlineStr">
        <is>
          <t>Logged in as admin</t>
        </is>
      </c>
      <c r="G33" s="14" t="inlineStr">
        <is>
          <t>1. User Management &gt; Add user
2. Enter email, password (8+), role, permissions
3. Create user</t>
        </is>
      </c>
      <c r="H33" s="14" t="inlineStr">
        <is>
          <t>new.user@pokonut.com / Test@12345</t>
        </is>
      </c>
      <c r="I33" s="14" t="inlineStr">
        <is>
          <t>Dialog closes, toast 'User created', user appears in the table with an avatar.</t>
        </is>
      </c>
      <c r="J33" s="15" t="inlineStr">
        <is>
          <t>Not Run</t>
        </is>
      </c>
      <c r="K33" s="15" t="n"/>
      <c r="L33" s="15" t="n"/>
      <c r="M33" s="16" t="n"/>
      <c r="N33" s="15" t="n"/>
    </row>
    <row r="34">
      <c r="A34" s="13" t="inlineStr">
        <is>
          <t>USR-02</t>
        </is>
      </c>
      <c r="B34" s="14" t="inlineStr">
        <is>
          <t>User management (admin)</t>
        </is>
      </c>
      <c r="C34" s="14" t="inlineStr">
        <is>
          <t>Create user with duplicate email</t>
        </is>
      </c>
      <c r="D34" s="14" t="inlineStr">
        <is>
          <t>Negative</t>
        </is>
      </c>
      <c r="E34" s="14" t="inlineStr">
        <is>
          <t>High</t>
        </is>
      </c>
      <c r="F34" s="14" t="inlineStr">
        <is>
          <t>User already exists</t>
        </is>
      </c>
      <c r="G34" s="14" t="inlineStr">
        <is>
          <t>1. Add the same email again</t>
        </is>
      </c>
      <c r="H34" s="14" t="inlineStr">
        <is>
          <t>tech@pokonut.com</t>
        </is>
      </c>
      <c r="I34" s="14" t="inlineStr">
        <is>
          <t>Error 'A user with that email already exists.' Dialog stays open.</t>
        </is>
      </c>
      <c r="J34" s="15" t="inlineStr">
        <is>
          <t>Not Run</t>
        </is>
      </c>
      <c r="K34" s="15" t="n"/>
      <c r="L34" s="15" t="n"/>
      <c r="M34" s="16" t="n"/>
      <c r="N34" s="15" t="n"/>
    </row>
    <row r="35">
      <c r="A35" s="13" t="inlineStr">
        <is>
          <t>USR-03</t>
        </is>
      </c>
      <c r="B35" s="14" t="inlineStr">
        <is>
          <t>User management (admin)</t>
        </is>
      </c>
      <c r="C35" s="14" t="inlineStr">
        <is>
          <t>Create user with invalid email</t>
        </is>
      </c>
      <c r="D35" s="14" t="inlineStr">
        <is>
          <t>Negative</t>
        </is>
      </c>
      <c r="E35" s="14" t="inlineStr">
        <is>
          <t>Medium</t>
        </is>
      </c>
      <c r="F35" s="14" t="inlineStr">
        <is>
          <t>-</t>
        </is>
      </c>
      <c r="G35" s="14" t="inlineStr">
        <is>
          <t>1. Enter 'abc' as email</t>
        </is>
      </c>
      <c r="H35" s="14" t="inlineStr">
        <is>
          <t>abc</t>
        </is>
      </c>
      <c r="I35" s="14" t="inlineStr">
        <is>
          <t>Error message; user not created.</t>
        </is>
      </c>
      <c r="J35" s="15" t="inlineStr">
        <is>
          <t>Not Run</t>
        </is>
      </c>
      <c r="K35" s="15" t="n"/>
      <c r="L35" s="15" t="n"/>
      <c r="M35" s="16" t="n"/>
      <c r="N35" s="15" t="n"/>
    </row>
    <row r="36">
      <c r="A36" s="13" t="inlineStr">
        <is>
          <t>USR-04</t>
        </is>
      </c>
      <c r="B36" s="14" t="inlineStr">
        <is>
          <t>User management (admin)</t>
        </is>
      </c>
      <c r="C36" s="14" t="inlineStr">
        <is>
          <t>Create user with short password</t>
        </is>
      </c>
      <c r="D36" s="14" t="inlineStr">
        <is>
          <t>Negative</t>
        </is>
      </c>
      <c r="E36" s="14" t="inlineStr">
        <is>
          <t>Medium</t>
        </is>
      </c>
      <c r="F36" s="14" t="inlineStr">
        <is>
          <t>-</t>
        </is>
      </c>
      <c r="G36" s="14" t="inlineStr">
        <is>
          <t>1. Enter password 'abc12'</t>
        </is>
      </c>
      <c r="H36" s="14" t="inlineStr">
        <is>
          <t>abc12</t>
        </is>
      </c>
      <c r="I36" s="14" t="inlineStr">
        <is>
          <t>Error 'Password must be at least 8 characters.'</t>
        </is>
      </c>
      <c r="J36" s="15" t="inlineStr">
        <is>
          <t>Not Run</t>
        </is>
      </c>
      <c r="K36" s="15" t="n"/>
      <c r="L36" s="15" t="n"/>
      <c r="M36" s="16" t="n"/>
      <c r="N36" s="15" t="n"/>
    </row>
    <row r="37">
      <c r="A37" s="13" t="inlineStr">
        <is>
          <t>USR-05</t>
        </is>
      </c>
      <c r="B37" s="14" t="inlineStr">
        <is>
          <t>User management (admin)</t>
        </is>
      </c>
      <c r="C37" s="14" t="inlineStr">
        <is>
          <t>Create button state with empty fields</t>
        </is>
      </c>
      <c r="D37" s="14" t="inlineStr">
        <is>
          <t>Negative</t>
        </is>
      </c>
      <c r="E37" s="14" t="inlineStr">
        <is>
          <t>Low</t>
        </is>
      </c>
      <c r="F37" s="14" t="inlineStr">
        <is>
          <t>-</t>
        </is>
      </c>
      <c r="G37" s="14" t="inlineStr">
        <is>
          <t>1. Open Add user
2. Leave email/password empty</t>
        </is>
      </c>
      <c r="H37" s="14" t="inlineStr">
        <is>
          <t>-</t>
        </is>
      </c>
      <c r="I37" s="14" t="inlineStr">
        <is>
          <t>Create user is disabled or shows validation.</t>
        </is>
      </c>
      <c r="J37" s="15" t="inlineStr">
        <is>
          <t>Not Run</t>
        </is>
      </c>
      <c r="K37" s="15" t="n"/>
      <c r="L37" s="15" t="n"/>
      <c r="M37" s="16" t="n"/>
      <c r="N37" s="15" t="n"/>
    </row>
    <row r="38">
      <c r="A38" s="13" t="inlineStr">
        <is>
          <t>USR-06</t>
        </is>
      </c>
      <c r="B38" s="14" t="inlineStr">
        <is>
          <t>User management (admin)</t>
        </is>
      </c>
      <c r="C38" s="14" t="inlineStr">
        <is>
          <t>Create user with role Admin</t>
        </is>
      </c>
      <c r="D38" s="14" t="inlineStr">
        <is>
          <t>Positive</t>
        </is>
      </c>
      <c r="E38" s="14" t="inlineStr">
        <is>
          <t>Medium</t>
        </is>
      </c>
      <c r="F38" s="14" t="inlineStr">
        <is>
          <t>Logged in as admin</t>
        </is>
      </c>
      <c r="G38" s="14" t="inlineStr">
        <is>
          <t>1. Create a user with role Admin
2. Log in as that user</t>
        </is>
      </c>
      <c r="H38" s="14" t="inlineStr">
        <is>
          <t>-</t>
        </is>
      </c>
      <c r="I38" s="14" t="inlineStr">
        <is>
          <t>New admin sees the User Management menu.</t>
        </is>
      </c>
      <c r="J38" s="15" t="inlineStr">
        <is>
          <t>Not Run</t>
        </is>
      </c>
      <c r="K38" s="15" t="n"/>
      <c r="L38" s="15" t="n"/>
      <c r="M38" s="16" t="n"/>
      <c r="N38" s="15" t="n"/>
    </row>
    <row r="39">
      <c r="A39" s="13" t="inlineStr">
        <is>
          <t>USR-07</t>
        </is>
      </c>
      <c r="B39" s="14" t="inlineStr">
        <is>
          <t>User management (admin)</t>
        </is>
      </c>
      <c r="C39" s="14" t="inlineStr">
        <is>
          <t>New user permissions default</t>
        </is>
      </c>
      <c r="D39" s="14" t="inlineStr">
        <is>
          <t>Positive</t>
        </is>
      </c>
      <c r="E39" s="14" t="inlineStr">
        <is>
          <t>Medium</t>
        </is>
      </c>
      <c r="F39" s="14" t="inlineStr">
        <is>
          <t>-</t>
        </is>
      </c>
      <c r="G39" s="14" t="inlineStr">
        <is>
          <t>1. Open Add user</t>
        </is>
      </c>
      <c r="H39" s="14" t="inlineStr">
        <is>
          <t>-</t>
        </is>
      </c>
      <c r="I39" s="14" t="inlineStr">
        <is>
          <t>View is ticked; Edit and Upload are not.</t>
        </is>
      </c>
      <c r="J39" s="15" t="inlineStr">
        <is>
          <t>Not Run</t>
        </is>
      </c>
      <c r="K39" s="15" t="n"/>
      <c r="L39" s="15" t="n"/>
      <c r="M39" s="16" t="n"/>
      <c r="N39" s="15" t="n"/>
    </row>
    <row r="40">
      <c r="A40" s="13" t="inlineStr">
        <is>
          <t>USR-08</t>
        </is>
      </c>
      <c r="B40" s="14" t="inlineStr">
        <is>
          <t>User management (admin)</t>
        </is>
      </c>
      <c r="C40" s="14" t="inlineStr">
        <is>
          <t>Password eye icon in Add user dialog</t>
        </is>
      </c>
      <c r="D40" s="14" t="inlineStr">
        <is>
          <t>Positive</t>
        </is>
      </c>
      <c r="E40" s="14" t="inlineStr">
        <is>
          <t>Low</t>
        </is>
      </c>
      <c r="F40" s="14" t="inlineStr">
        <is>
          <t>-</t>
        </is>
      </c>
      <c r="G40" s="14" t="inlineStr">
        <is>
          <t>1. Click the eye icon</t>
        </is>
      </c>
      <c r="H40" s="14" t="inlineStr">
        <is>
          <t>-</t>
        </is>
      </c>
      <c r="I40" s="14" t="inlineStr">
        <is>
          <t>Password toggles visibility.</t>
        </is>
      </c>
      <c r="J40" s="15" t="inlineStr">
        <is>
          <t>Not Run</t>
        </is>
      </c>
      <c r="K40" s="15" t="n"/>
      <c r="L40" s="15" t="n"/>
      <c r="M40" s="16" t="n"/>
      <c r="N40" s="15" t="n"/>
    </row>
    <row r="41">
      <c r="A41" s="13" t="inlineStr">
        <is>
          <t>USR-09</t>
        </is>
      </c>
      <c r="B41" s="14" t="inlineStr">
        <is>
          <t>User management (admin)</t>
        </is>
      </c>
      <c r="C41" s="14" t="inlineStr">
        <is>
          <t>Toggle View / Edit / Upload switches</t>
        </is>
      </c>
      <c r="D41" s="14" t="inlineStr">
        <is>
          <t>Positive</t>
        </is>
      </c>
      <c r="E41" s="14" t="inlineStr">
        <is>
          <t>High</t>
        </is>
      </c>
      <c r="F41" s="14" t="inlineStr">
        <is>
          <t>Another non-admin user exists</t>
        </is>
      </c>
      <c r="G41" s="14" t="inlineStr">
        <is>
          <t>1. Toggle each switch for that user
2. Refresh the page</t>
        </is>
      </c>
      <c r="H41" s="14" t="inlineStr">
        <is>
          <t>-</t>
        </is>
      </c>
      <c r="I41" s="14" t="inlineStr">
        <is>
          <t>Each change saves immediately and is still set after refresh. Affected user gets the new access on next login.</t>
        </is>
      </c>
      <c r="J41" s="15" t="inlineStr">
        <is>
          <t>Not Run</t>
        </is>
      </c>
      <c r="K41" s="15" t="n"/>
      <c r="L41" s="15" t="n"/>
      <c r="M41" s="16" t="n"/>
      <c r="N41" s="15" t="n"/>
    </row>
    <row r="42">
      <c r="A42" s="13" t="inlineStr">
        <is>
          <t>USR-10</t>
        </is>
      </c>
      <c r="B42" s="14" t="inlineStr">
        <is>
          <t>User management (admin)</t>
        </is>
      </c>
      <c r="C42" s="14" t="inlineStr">
        <is>
          <t>Change another user's role</t>
        </is>
      </c>
      <c r="D42" s="14" t="inlineStr">
        <is>
          <t>Positive</t>
        </is>
      </c>
      <c r="E42" s="14" t="inlineStr">
        <is>
          <t>High</t>
        </is>
      </c>
      <c r="F42" s="14" t="inlineStr">
        <is>
          <t>Another user exists</t>
        </is>
      </c>
      <c r="G42" s="14" t="inlineStr">
        <is>
          <t>1. Change role dropdown between User and Admin</t>
        </is>
      </c>
      <c r="H42" s="14" t="inlineStr">
        <is>
          <t>-</t>
        </is>
      </c>
      <c r="I42" s="14" t="inlineStr">
        <is>
          <t>Role updates and persists.</t>
        </is>
      </c>
      <c r="J42" s="15" t="inlineStr">
        <is>
          <t>Not Run</t>
        </is>
      </c>
      <c r="K42" s="15" t="n"/>
      <c r="L42" s="15" t="n"/>
      <c r="M42" s="16" t="n"/>
      <c r="N42" s="15" t="n"/>
    </row>
    <row r="43">
      <c r="A43" s="13" t="inlineStr">
        <is>
          <t>USR-11</t>
        </is>
      </c>
      <c r="B43" s="14" t="inlineStr">
        <is>
          <t>User management (admin)</t>
        </is>
      </c>
      <c r="C43" s="14" t="inlineStr">
        <is>
          <t>Cannot change own role</t>
        </is>
      </c>
      <c r="D43" s="14" t="inlineStr">
        <is>
          <t>Negative</t>
        </is>
      </c>
      <c r="E43" s="14" t="inlineStr">
        <is>
          <t>High</t>
        </is>
      </c>
      <c r="F43" s="14" t="inlineStr">
        <is>
          <t>Logged in as admin</t>
        </is>
      </c>
      <c r="G43" s="14" t="inlineStr">
        <is>
          <t>1. Look at your own row</t>
        </is>
      </c>
      <c r="H43" s="14" t="inlineStr">
        <is>
          <t>-</t>
        </is>
      </c>
      <c r="I43" s="14" t="inlineStr">
        <is>
          <t>Role shows a lock and cannot be changed. API refuses self-demotion.</t>
        </is>
      </c>
      <c r="J43" s="15" t="inlineStr">
        <is>
          <t>Not Run</t>
        </is>
      </c>
      <c r="K43" s="15" t="n"/>
      <c r="L43" s="15" t="n"/>
      <c r="M43" s="16" t="n"/>
      <c r="N43" s="15" t="n"/>
    </row>
    <row r="44">
      <c r="A44" s="13" t="inlineStr">
        <is>
          <t>USR-12</t>
        </is>
      </c>
      <c r="B44" s="14" t="inlineStr">
        <is>
          <t>User management (admin)</t>
        </is>
      </c>
      <c r="C44" s="14" t="inlineStr">
        <is>
          <t>Cannot deactivate own account</t>
        </is>
      </c>
      <c r="D44" s="14" t="inlineStr">
        <is>
          <t>Negative</t>
        </is>
      </c>
      <c r="E44" s="14" t="inlineStr">
        <is>
          <t>High</t>
        </is>
      </c>
      <c r="F44" s="14" t="inlineStr">
        <is>
          <t>Logged in as admin</t>
        </is>
      </c>
      <c r="G44" s="14" t="inlineStr">
        <is>
          <t>1. Try to toggle your own Active switch</t>
        </is>
      </c>
      <c r="H44" s="14" t="inlineStr">
        <is>
          <t>-</t>
        </is>
      </c>
      <c r="I44" s="14" t="inlineStr">
        <is>
          <t>Switch is disabled. API refuses with an error.</t>
        </is>
      </c>
      <c r="J44" s="15" t="inlineStr">
        <is>
          <t>Not Run</t>
        </is>
      </c>
      <c r="K44" s="15" t="n"/>
      <c r="L44" s="15" t="n"/>
      <c r="M44" s="16" t="n"/>
      <c r="N44" s="15" t="n"/>
    </row>
    <row r="45">
      <c r="A45" s="13" t="inlineStr">
        <is>
          <t>USR-13</t>
        </is>
      </c>
      <c r="B45" s="14" t="inlineStr">
        <is>
          <t>User management (admin)</t>
        </is>
      </c>
      <c r="C45" s="14" t="inlineStr">
        <is>
          <t>Deactivate another user</t>
        </is>
      </c>
      <c r="D45" s="14" t="inlineStr">
        <is>
          <t>Positive</t>
        </is>
      </c>
      <c r="E45" s="14" t="inlineStr">
        <is>
          <t>High</t>
        </is>
      </c>
      <c r="F45" s="14" t="inlineStr">
        <is>
          <t>Another user exists</t>
        </is>
      </c>
      <c r="G45" s="14" t="inlineStr">
        <is>
          <t>1. Turn Active off for that user
2. Try to log in as them</t>
        </is>
      </c>
      <c r="H45" s="14" t="inlineStr">
        <is>
          <t>-</t>
        </is>
      </c>
      <c r="I45" s="14" t="inlineStr">
        <is>
          <t>They cannot log in. Turn Active on again and they can.</t>
        </is>
      </c>
      <c r="J45" s="15" t="inlineStr">
        <is>
          <t>Not Run</t>
        </is>
      </c>
      <c r="K45" s="15" t="n"/>
      <c r="L45" s="15" t="n"/>
      <c r="M45" s="16" t="n"/>
      <c r="N45" s="15" t="n"/>
    </row>
    <row r="46">
      <c r="A46" s="13" t="inlineStr">
        <is>
          <t>USR-14</t>
        </is>
      </c>
      <c r="B46" s="14" t="inlineStr">
        <is>
          <t>User management (admin)</t>
        </is>
      </c>
      <c r="C46" s="14" t="inlineStr">
        <is>
          <t>Reset another user's password</t>
        </is>
      </c>
      <c r="D46" s="14" t="inlineStr">
        <is>
          <t>Positive</t>
        </is>
      </c>
      <c r="E46" s="14" t="inlineStr">
        <is>
          <t>High</t>
        </is>
      </c>
      <c r="F46" s="14" t="inlineStr">
        <is>
          <t>Another user exists</t>
        </is>
      </c>
      <c r="G46" s="14" t="inlineStr">
        <is>
          <t>1. Click Reset
2. Enter new password (8+)
3. Click the tick</t>
        </is>
      </c>
      <c r="H46" s="14" t="inlineStr">
        <is>
          <t>NewPass@123</t>
        </is>
      </c>
      <c r="I46" s="14" t="inlineStr">
        <is>
          <t>Toast 'Password reset'. User can log in with the new password only.</t>
        </is>
      </c>
      <c r="J46" s="15" t="inlineStr">
        <is>
          <t>Not Run</t>
        </is>
      </c>
      <c r="K46" s="15" t="n"/>
      <c r="L46" s="15" t="n"/>
      <c r="M46" s="16" t="n"/>
      <c r="N46" s="15" t="n"/>
    </row>
    <row r="47">
      <c r="A47" s="13" t="inlineStr">
        <is>
          <t>USR-15</t>
        </is>
      </c>
      <c r="B47" s="14" t="inlineStr">
        <is>
          <t>User management (admin)</t>
        </is>
      </c>
      <c r="C47" s="14" t="inlineStr">
        <is>
          <t>Reset password shorter than 8 characters</t>
        </is>
      </c>
      <c r="D47" s="14" t="inlineStr">
        <is>
          <t>Negative</t>
        </is>
      </c>
      <c r="E47" s="14" t="inlineStr">
        <is>
          <t>Medium</t>
        </is>
      </c>
      <c r="F47" s="14" t="inlineStr">
        <is>
          <t>-</t>
        </is>
      </c>
      <c r="G47" s="14" t="inlineStr">
        <is>
          <t>1. Click Reset and enter 'abc'
2. Confirm</t>
        </is>
      </c>
      <c r="H47" s="14" t="inlineStr">
        <is>
          <t>abc</t>
        </is>
      </c>
      <c r="I47" s="14" t="inlineStr">
        <is>
          <t>Error toast; password unchanged.</t>
        </is>
      </c>
      <c r="J47" s="15" t="inlineStr">
        <is>
          <t>Not Run</t>
        </is>
      </c>
      <c r="K47" s="15" t="n"/>
      <c r="L47" s="15" t="n"/>
      <c r="M47" s="16" t="n"/>
      <c r="N47" s="15" t="n"/>
    </row>
    <row r="48">
      <c r="A48" s="13" t="inlineStr">
        <is>
          <t>USR-16</t>
        </is>
      </c>
      <c r="B48" s="14" t="inlineStr">
        <is>
          <t>User management (admin)</t>
        </is>
      </c>
      <c r="C48" s="14" t="inlineStr">
        <is>
          <t>Cancel password reset</t>
        </is>
      </c>
      <c r="D48" s="14" t="inlineStr">
        <is>
          <t>Positive</t>
        </is>
      </c>
      <c r="E48" s="14" t="inlineStr">
        <is>
          <t>Low</t>
        </is>
      </c>
      <c r="F48" s="14" t="inlineStr">
        <is>
          <t>-</t>
        </is>
      </c>
      <c r="G48" s="14" t="inlineStr">
        <is>
          <t>1. Click Reset
2. Click the cross</t>
        </is>
      </c>
      <c r="H48" s="14" t="inlineStr">
        <is>
          <t>-</t>
        </is>
      </c>
      <c r="I48" s="14" t="inlineStr">
        <is>
          <t>Input closes, nothing changes.</t>
        </is>
      </c>
      <c r="J48" s="15" t="inlineStr">
        <is>
          <t>Not Run</t>
        </is>
      </c>
      <c r="K48" s="15" t="n"/>
      <c r="L48" s="15" t="n"/>
      <c r="M48" s="16" t="n"/>
      <c r="N48" s="15" t="n"/>
    </row>
    <row r="49">
      <c r="A49" s="13" t="inlineStr">
        <is>
          <t>USR-17</t>
        </is>
      </c>
      <c r="B49" s="14" t="inlineStr">
        <is>
          <t>User management (admin)</t>
        </is>
      </c>
      <c r="C49" s="14" t="inlineStr">
        <is>
          <t>Delete user with confirmation</t>
        </is>
      </c>
      <c r="D49" s="14" t="inlineStr">
        <is>
          <t>Positive</t>
        </is>
      </c>
      <c r="E49" s="14" t="inlineStr">
        <is>
          <t>High</t>
        </is>
      </c>
      <c r="F49" s="14" t="inlineStr">
        <is>
          <t>A deletable non-admin user exists</t>
        </is>
      </c>
      <c r="G49" s="14" t="inlineStr">
        <is>
          <t>1. Click the delete icon
2. Click Yes</t>
        </is>
      </c>
      <c r="H49" s="14" t="inlineStr">
        <is>
          <t>-</t>
        </is>
      </c>
      <c r="I49" s="14" t="inlineStr">
        <is>
          <t>Confirm dialog names the user. After Yes: toast 'User deleted' and the row disappears.</t>
        </is>
      </c>
      <c r="J49" s="15" t="inlineStr">
        <is>
          <t>Not Run</t>
        </is>
      </c>
      <c r="K49" s="15" t="n"/>
      <c r="L49" s="15" t="n"/>
      <c r="M49" s="16" t="n"/>
      <c r="N49" s="15" t="n"/>
    </row>
    <row r="50">
      <c r="A50" s="13" t="inlineStr">
        <is>
          <t>USR-18</t>
        </is>
      </c>
      <c r="B50" s="14" t="inlineStr">
        <is>
          <t>User management (admin)</t>
        </is>
      </c>
      <c r="C50" s="14" t="inlineStr">
        <is>
          <t>Cancel delete user</t>
        </is>
      </c>
      <c r="D50" s="14" t="inlineStr">
        <is>
          <t>Positive</t>
        </is>
      </c>
      <c r="E50" s="14" t="inlineStr">
        <is>
          <t>Medium</t>
        </is>
      </c>
      <c r="F50" s="14" t="inlineStr">
        <is>
          <t>-</t>
        </is>
      </c>
      <c r="G50" s="14" t="inlineStr">
        <is>
          <t>1. Click delete
2. Click No</t>
        </is>
      </c>
      <c r="H50" s="14" t="inlineStr">
        <is>
          <t>-</t>
        </is>
      </c>
      <c r="I50" s="14" t="inlineStr">
        <is>
          <t>User is not deleted.</t>
        </is>
      </c>
      <c r="J50" s="15" t="inlineStr">
        <is>
          <t>Not Run</t>
        </is>
      </c>
      <c r="K50" s="15" t="n"/>
      <c r="L50" s="15" t="n"/>
      <c r="M50" s="16" t="n"/>
      <c r="N50" s="15" t="n"/>
    </row>
    <row r="51">
      <c r="A51" s="13" t="inlineStr">
        <is>
          <t>USR-19</t>
        </is>
      </c>
      <c r="B51" s="14" t="inlineStr">
        <is>
          <t>User management (admin)</t>
        </is>
      </c>
      <c r="C51" s="14" t="inlineStr">
        <is>
          <t>Cannot delete own account</t>
        </is>
      </c>
      <c r="D51" s="14" t="inlineStr">
        <is>
          <t>Negative</t>
        </is>
      </c>
      <c r="E51" s="14" t="inlineStr">
        <is>
          <t>High</t>
        </is>
      </c>
      <c r="F51" s="14" t="inlineStr">
        <is>
          <t>Logged in as admin</t>
        </is>
      </c>
      <c r="G51" s="14" t="inlineStr">
        <is>
          <t>1. Look at your own row</t>
        </is>
      </c>
      <c r="H51" s="14" t="inlineStr">
        <is>
          <t>-</t>
        </is>
      </c>
      <c r="I51" s="14" t="inlineStr">
        <is>
          <t>No delete button; shows 'You' with a lock. API refuses self-delete.</t>
        </is>
      </c>
      <c r="J51" s="15" t="inlineStr">
        <is>
          <t>Not Run</t>
        </is>
      </c>
      <c r="K51" s="15" t="n"/>
      <c r="L51" s="15" t="n"/>
      <c r="M51" s="16" t="n"/>
      <c r="N51" s="15" t="n"/>
    </row>
    <row r="52">
      <c r="A52" s="13" t="inlineStr">
        <is>
          <t>USR-20</t>
        </is>
      </c>
      <c r="B52" s="14" t="inlineStr">
        <is>
          <t>User management (admin)</t>
        </is>
      </c>
      <c r="C52" s="14" t="inlineStr">
        <is>
          <t>Cannot delete the last admin</t>
        </is>
      </c>
      <c r="D52" s="14" t="inlineStr">
        <is>
          <t>Negative</t>
        </is>
      </c>
      <c r="E52" s="14" t="inlineStr">
        <is>
          <t>High</t>
        </is>
      </c>
      <c r="F52" s="14" t="inlineStr">
        <is>
          <t>Only one admin exists</t>
        </is>
      </c>
      <c r="G52" s="14" t="inlineStr">
        <is>
          <t>1. Try to delete that admin from another admin session / API</t>
        </is>
      </c>
      <c r="H52" s="14" t="inlineStr">
        <is>
          <t>-</t>
        </is>
      </c>
      <c r="I52" s="14" t="inlineStr">
        <is>
          <t>Refused with 'can't delete the last remaining admin'.</t>
        </is>
      </c>
      <c r="J52" s="15" t="inlineStr">
        <is>
          <t>Not Run</t>
        </is>
      </c>
      <c r="K52" s="15" t="n"/>
      <c r="L52" s="15" t="n"/>
      <c r="M52" s="16" t="n"/>
      <c r="N52" s="15" t="n"/>
    </row>
    <row r="53">
      <c r="A53" s="13" t="inlineStr">
        <is>
          <t>USR-21</t>
        </is>
      </c>
      <c r="B53" s="14" t="inlineStr">
        <is>
          <t>User management (admin)</t>
        </is>
      </c>
      <c r="C53" s="14" t="inlineStr">
        <is>
          <t>Deleted user's data</t>
        </is>
      </c>
      <c r="D53" s="14" t="inlineStr">
        <is>
          <t>Data</t>
        </is>
      </c>
      <c r="E53" s="14" t="inlineStr">
        <is>
          <t>Medium</t>
        </is>
      </c>
      <c r="F53" s="14" t="inlineStr">
        <is>
          <t>User created runs/uploads earlier</t>
        </is>
      </c>
      <c r="G53" s="14" t="inlineStr">
        <is>
          <t>1. Delete that user
2. Check Runs and Uploads</t>
        </is>
      </c>
      <c r="H53" s="14" t="inlineStr">
        <is>
          <t>-</t>
        </is>
      </c>
      <c r="I53" s="14" t="inlineStr">
        <is>
          <t>Existing runs/uploads remain (no cascade loss of business data).</t>
        </is>
      </c>
      <c r="J53" s="15" t="inlineStr">
        <is>
          <t>Not Run</t>
        </is>
      </c>
      <c r="K53" s="15" t="n"/>
      <c r="L53" s="15" t="n"/>
      <c r="M53" s="16" t="n"/>
      <c r="N53" s="15" t="n"/>
    </row>
    <row r="54">
      <c r="A54" s="13" t="inlineStr">
        <is>
          <t>USR-22</t>
        </is>
      </c>
      <c r="B54" s="14" t="inlineStr">
        <is>
          <t>User management (admin)</t>
        </is>
      </c>
      <c r="C54" s="14" t="inlineStr">
        <is>
          <t>Non-admin cannot see User Management</t>
        </is>
      </c>
      <c r="D54" s="14" t="inlineStr">
        <is>
          <t>Security</t>
        </is>
      </c>
      <c r="E54" s="14" t="inlineStr">
        <is>
          <t>High</t>
        </is>
      </c>
      <c r="F54" s="14" t="inlineStr">
        <is>
          <t>Logged in as a normal user</t>
        </is>
      </c>
      <c r="G54" s="14" t="inlineStr">
        <is>
          <t>1. Look at sidebar
2. Open /admin/users directly</t>
        </is>
      </c>
      <c r="H54" s="14" t="inlineStr">
        <is>
          <t>-</t>
        </is>
      </c>
      <c r="I54" s="14" t="inlineStr">
        <is>
          <t>Menu item is hidden; direct URL redirects away.</t>
        </is>
      </c>
      <c r="J54" s="15" t="inlineStr">
        <is>
          <t>Not Run</t>
        </is>
      </c>
      <c r="K54" s="15" t="n"/>
      <c r="L54" s="15" t="n"/>
      <c r="M54" s="16" t="n"/>
      <c r="N54" s="15" t="n"/>
    </row>
    <row r="55">
      <c r="A55" s="13" t="inlineStr">
        <is>
          <t>USR-23</t>
        </is>
      </c>
      <c r="B55" s="14" t="inlineStr">
        <is>
          <t>User management (admin)</t>
        </is>
      </c>
      <c r="C55" s="14" t="inlineStr">
        <is>
          <t>Non-admin cannot call admin API</t>
        </is>
      </c>
      <c r="D55" s="14" t="inlineStr">
        <is>
          <t>Security</t>
        </is>
      </c>
      <c r="E55" s="14" t="inlineStr">
        <is>
          <t>High</t>
        </is>
      </c>
      <c r="F55" s="14" t="inlineStr">
        <is>
          <t>Normal user session</t>
        </is>
      </c>
      <c r="G55" s="14" t="inlineStr">
        <is>
          <t>1. Call GET/POST/DELETE /api/admin/users in browser/Postman</t>
        </is>
      </c>
      <c r="H55" s="14" t="inlineStr">
        <is>
          <t>-</t>
        </is>
      </c>
      <c r="I55" s="14" t="inlineStr">
        <is>
          <t>403 Admin access required.</t>
        </is>
      </c>
      <c r="J55" s="15" t="inlineStr">
        <is>
          <t>Not Run</t>
        </is>
      </c>
      <c r="K55" s="15" t="n"/>
      <c r="L55" s="15" t="n"/>
      <c r="M55" s="16" t="n"/>
      <c r="N55" s="15" t="n"/>
    </row>
    <row r="56">
      <c r="A56" s="13" t="inlineStr">
        <is>
          <t>USR-24</t>
        </is>
      </c>
      <c r="B56" s="14" t="inlineStr">
        <is>
          <t>User management (admin)</t>
        </is>
      </c>
      <c r="C56" s="14" t="inlineStr">
        <is>
          <t>Toasts on user actions</t>
        </is>
      </c>
      <c r="D56" s="14" t="inlineStr">
        <is>
          <t>Positive</t>
        </is>
      </c>
      <c r="E56" s="14" t="inlineStr">
        <is>
          <t>Low</t>
        </is>
      </c>
      <c r="F56" s="14" t="inlineStr">
        <is>
          <t>-</t>
        </is>
      </c>
      <c r="G56" s="14" t="inlineStr">
        <is>
          <t>1. Create, delete, reset, update failure</t>
        </is>
      </c>
      <c r="H56" s="14" t="inlineStr">
        <is>
          <t>-</t>
        </is>
      </c>
      <c r="I56" s="14" t="inlineStr">
        <is>
          <t>Success and error toasts appear top-right with clear text.</t>
        </is>
      </c>
      <c r="J56" s="15" t="inlineStr">
        <is>
          <t>Not Run</t>
        </is>
      </c>
      <c r="K56" s="15" t="n"/>
      <c r="L56" s="15" t="n"/>
      <c r="M56" s="16" t="n"/>
      <c r="N56" s="15" t="n"/>
    </row>
    <row r="57">
      <c r="A57" s="13" t="inlineStr">
        <is>
          <t>USR-25</t>
        </is>
      </c>
      <c r="B57" s="14" t="inlineStr">
        <is>
          <t>User management (admin)</t>
        </is>
      </c>
      <c r="C57" s="14" t="inlineStr">
        <is>
          <t>Users table on mobile</t>
        </is>
      </c>
      <c r="D57" s="14" t="inlineStr">
        <is>
          <t>UI</t>
        </is>
      </c>
      <c r="E57" s="14" t="inlineStr">
        <is>
          <t>Medium</t>
        </is>
      </c>
      <c r="F57" s="14" t="inlineStr">
        <is>
          <t>Viewport 375px</t>
        </is>
      </c>
      <c r="G57" s="14" t="inlineStr">
        <is>
          <t>1. Open User Management</t>
        </is>
      </c>
      <c r="H57" s="14" t="inlineStr">
        <is>
          <t>-</t>
        </is>
      </c>
      <c r="I57" s="14" t="inlineStr">
        <is>
          <t>Table stacks into readable label/value cards; switches usable.</t>
        </is>
      </c>
      <c r="J57" s="15" t="inlineStr">
        <is>
          <t>Not Run</t>
        </is>
      </c>
      <c r="K57" s="15" t="n"/>
      <c r="L57" s="15" t="n"/>
      <c r="M57" s="16" t="n"/>
      <c r="N57" s="15" t="n"/>
    </row>
    <row r="58">
      <c r="A58" s="13" t="inlineStr">
        <is>
          <t>PERM-01</t>
        </is>
      </c>
      <c r="B58" s="14" t="inlineStr">
        <is>
          <t>Permissions matrix</t>
        </is>
      </c>
      <c r="C58" s="14" t="inlineStr">
        <is>
          <t>Admin has full access</t>
        </is>
      </c>
      <c r="D58" s="14" t="inlineStr">
        <is>
          <t>Positive</t>
        </is>
      </c>
      <c r="E58" s="14" t="inlineStr">
        <is>
          <t>High</t>
        </is>
      </c>
      <c r="F58" s="14" t="inlineStr">
        <is>
          <t>Admin session</t>
        </is>
      </c>
      <c r="G58" s="14" t="inlineStr">
        <is>
          <t>1. Visit every page and action</t>
        </is>
      </c>
      <c r="H58" s="14" t="inlineStr">
        <is>
          <t>-</t>
        </is>
      </c>
      <c r="I58" s="14" t="inlineStr">
        <is>
          <t>Everything works regardless of the three switches.</t>
        </is>
      </c>
      <c r="J58" s="15" t="inlineStr">
        <is>
          <t>Not Run</t>
        </is>
      </c>
      <c r="K58" s="15" t="n"/>
      <c r="L58" s="15" t="n"/>
      <c r="M58" s="16" t="n"/>
      <c r="N58" s="15" t="n"/>
    </row>
    <row r="59">
      <c r="A59" s="13" t="inlineStr">
        <is>
          <t>PERM-02</t>
        </is>
      </c>
      <c r="B59" s="14" t="inlineStr">
        <is>
          <t>Permissions matrix</t>
        </is>
      </c>
      <c r="C59" s="14" t="inlineStr">
        <is>
          <t>User with View only</t>
        </is>
      </c>
      <c r="D59" s="14" t="inlineStr">
        <is>
          <t>Positive</t>
        </is>
      </c>
      <c r="E59" s="14" t="inlineStr">
        <is>
          <t>High</t>
        </is>
      </c>
      <c r="F59" s="14" t="inlineStr">
        <is>
          <t>User: View on, Edit off, Upload off</t>
        </is>
      </c>
      <c r="G59" s="14" t="inlineStr">
        <is>
          <t>1. Log in
2. Open Runs and Results
3. Open MIS Upload</t>
        </is>
      </c>
      <c r="H59" s="14" t="inlineStr">
        <is>
          <t>-</t>
        </is>
      </c>
      <c r="I59" s="14" t="inlineStr">
        <is>
          <t>Can view runs/results. MIS Upload shows 'no upload permission'. Run reconciliation shows 'No edit permission'.</t>
        </is>
      </c>
      <c r="J59" s="15" t="inlineStr">
        <is>
          <t>Not Run</t>
        </is>
      </c>
      <c r="K59" s="15" t="n"/>
      <c r="L59" s="15" t="n"/>
      <c r="M59" s="16" t="n"/>
      <c r="N59" s="15" t="n"/>
    </row>
    <row r="60">
      <c r="A60" s="13" t="inlineStr">
        <is>
          <t>PERM-03</t>
        </is>
      </c>
      <c r="B60" s="14" t="inlineStr">
        <is>
          <t>Permissions matrix</t>
        </is>
      </c>
      <c r="C60" s="14" t="inlineStr">
        <is>
          <t>User with no View</t>
        </is>
      </c>
      <c r="D60" s="14" t="inlineStr">
        <is>
          <t>Negative</t>
        </is>
      </c>
      <c r="E60" s="14" t="inlineStr">
        <is>
          <t>High</t>
        </is>
      </c>
      <c r="F60" s="14" t="inlineStr">
        <is>
          <t>User: View off</t>
        </is>
      </c>
      <c r="G60" s="14" t="inlineStr">
        <is>
          <t>1. Log in
2. Open Runs / Results</t>
        </is>
      </c>
      <c r="H60" s="14" t="inlineStr">
        <is>
          <t>-</t>
        </is>
      </c>
      <c r="I60" s="14" t="inlineStr">
        <is>
          <t>Data is not shown; API returns 403; page shows a clear error (not a crash).</t>
        </is>
      </c>
      <c r="J60" s="15" t="inlineStr">
        <is>
          <t>Not Run</t>
        </is>
      </c>
      <c r="K60" s="15" t="n"/>
      <c r="L60" s="15" t="n"/>
      <c r="M60" s="16" t="n"/>
      <c r="N60" s="15" t="n"/>
    </row>
    <row r="61">
      <c r="A61" s="13" t="inlineStr">
        <is>
          <t>PERM-04</t>
        </is>
      </c>
      <c r="B61" s="14" t="inlineStr">
        <is>
          <t>Permissions matrix</t>
        </is>
      </c>
      <c r="C61" s="14" t="inlineStr">
        <is>
          <t>User with Edit only can run reconciliation</t>
        </is>
      </c>
      <c r="D61" s="14" t="inlineStr">
        <is>
          <t>Positive</t>
        </is>
      </c>
      <c r="E61" s="14" t="inlineStr">
        <is>
          <t>High</t>
        </is>
      </c>
      <c r="F61" s="14" t="inlineStr">
        <is>
          <t>User: View + Edit</t>
        </is>
      </c>
      <c r="G61" s="14" t="inlineStr">
        <is>
          <t>1. Open MIS Upload
2. Click Run reconciliation</t>
        </is>
      </c>
      <c r="H61" s="14" t="inlineStr">
        <is>
          <t>-</t>
        </is>
      </c>
      <c r="I61" s="14" t="inlineStr">
        <is>
          <t>Run works. Uploading is not offered.</t>
        </is>
      </c>
      <c r="J61" s="15" t="inlineStr">
        <is>
          <t>Not Run</t>
        </is>
      </c>
      <c r="K61" s="15" t="n"/>
      <c r="L61" s="15" t="n"/>
      <c r="M61" s="16" t="n"/>
      <c r="N61" s="15" t="n"/>
    </row>
    <row r="62">
      <c r="A62" s="13" t="inlineStr">
        <is>
          <t>PERM-05</t>
        </is>
      </c>
      <c r="B62" s="14" t="inlineStr">
        <is>
          <t>Permissions matrix</t>
        </is>
      </c>
      <c r="C62" s="14" t="inlineStr">
        <is>
          <t>User with Upload only can upload</t>
        </is>
      </c>
      <c r="D62" s="14" t="inlineStr">
        <is>
          <t>Positive</t>
        </is>
      </c>
      <c r="E62" s="14" t="inlineStr">
        <is>
          <t>High</t>
        </is>
      </c>
      <c r="F62" s="14" t="inlineStr">
        <is>
          <t>User: View + Upload</t>
        </is>
      </c>
      <c r="G62" s="14" t="inlineStr">
        <is>
          <t>1. Upload an MIS file</t>
        </is>
      </c>
      <c r="H62" s="14" t="inlineStr">
        <is>
          <t>-</t>
        </is>
      </c>
      <c r="I62" s="14" t="inlineStr">
        <is>
          <t>Upload works; Run reconciliation shows 'No edit permission'.</t>
        </is>
      </c>
      <c r="J62" s="15" t="inlineStr">
        <is>
          <t>Not Run</t>
        </is>
      </c>
      <c r="K62" s="15" t="n"/>
      <c r="L62" s="15" t="n"/>
      <c r="M62" s="16" t="n"/>
      <c r="N62" s="15" t="n"/>
    </row>
    <row r="63">
      <c r="A63" s="13" t="inlineStr">
        <is>
          <t>PERM-06</t>
        </is>
      </c>
      <c r="B63" s="14" t="inlineStr">
        <is>
          <t>Permissions matrix</t>
        </is>
      </c>
      <c r="C63" s="14" t="inlineStr">
        <is>
          <t>Direct API calls respect permissions</t>
        </is>
      </c>
      <c r="D63" s="14" t="inlineStr">
        <is>
          <t>Security</t>
        </is>
      </c>
      <c r="E63" s="14" t="inlineStr">
        <is>
          <t>High</t>
        </is>
      </c>
      <c r="F63" s="14" t="inlineStr">
        <is>
          <t>View-only user cookie</t>
        </is>
      </c>
      <c r="G63" s="14" t="inlineStr">
        <is>
          <t>1. POST /api/mis-uploads, /api/rate-cards, /api/reconcile/run</t>
        </is>
      </c>
      <c r="H63" s="14" t="inlineStr">
        <is>
          <t>-</t>
        </is>
      </c>
      <c r="I63" s="14" t="inlineStr">
        <is>
          <t>Each returns 403.</t>
        </is>
      </c>
      <c r="J63" s="15" t="inlineStr">
        <is>
          <t>Not Run</t>
        </is>
      </c>
      <c r="K63" s="15" t="n"/>
      <c r="L63" s="15" t="n"/>
      <c r="M63" s="16" t="n"/>
      <c r="N63" s="15" t="n"/>
    </row>
    <row r="64">
      <c r="A64" s="13" t="inlineStr">
        <is>
          <t>PERM-07</t>
        </is>
      </c>
      <c r="B64" s="14" t="inlineStr">
        <is>
          <t>Permissions matrix</t>
        </is>
      </c>
      <c r="C64" s="14" t="inlineStr">
        <is>
          <t>Only admin can delete a run</t>
        </is>
      </c>
      <c r="D64" s="14" t="inlineStr">
        <is>
          <t>Security</t>
        </is>
      </c>
      <c r="E64" s="14" t="inlineStr">
        <is>
          <t>High</t>
        </is>
      </c>
      <c r="F64" s="14" t="inlineStr">
        <is>
          <t>Non-admin with Edit</t>
        </is>
      </c>
      <c r="G64" s="14" t="inlineStr">
        <is>
          <t>1. Look at Runs table
2. Call DELETE /api/reconcile/runs/:id</t>
        </is>
      </c>
      <c r="H64" s="14" t="inlineStr">
        <is>
          <t>-</t>
        </is>
      </c>
      <c r="I64" s="14" t="inlineStr">
        <is>
          <t>No delete icon; API returns 403.</t>
        </is>
      </c>
      <c r="J64" s="15" t="inlineStr">
        <is>
          <t>Not Run</t>
        </is>
      </c>
      <c r="K64" s="15" t="n"/>
      <c r="L64" s="15" t="n"/>
      <c r="M64" s="16" t="n"/>
      <c r="N64" s="15" t="n"/>
    </row>
    <row r="65">
      <c r="A65" s="13" t="inlineStr">
        <is>
          <t>PERM-08</t>
        </is>
      </c>
      <c r="B65" s="14" t="inlineStr">
        <is>
          <t>Permissions matrix</t>
        </is>
      </c>
      <c r="C65" s="14" t="inlineStr">
        <is>
          <t>Permission changes take effect</t>
        </is>
      </c>
      <c r="D65" s="14" t="inlineStr">
        <is>
          <t>Positive</t>
        </is>
      </c>
      <c r="E65" s="14" t="inlineStr">
        <is>
          <t>Medium</t>
        </is>
      </c>
      <c r="F65" s="14" t="inlineStr">
        <is>
          <t>Two sessions</t>
        </is>
      </c>
      <c r="G65" s="14" t="inlineStr">
        <is>
          <t>1. Admin changes a user's switches
2. User logs out and in</t>
        </is>
      </c>
      <c r="H65" s="14" t="inlineStr">
        <is>
          <t>-</t>
        </is>
      </c>
      <c r="I65" s="14" t="inlineStr">
        <is>
          <t>New permissions apply after re-login.</t>
        </is>
      </c>
      <c r="J65" s="15" t="inlineStr">
        <is>
          <t>Not Run</t>
        </is>
      </c>
      <c r="K65" s="15" t="n"/>
      <c r="L65" s="15" t="n"/>
      <c r="M65" s="16" t="n"/>
      <c r="N65" s="15" t="n"/>
    </row>
    <row r="66">
      <c r="A66" s="13" t="inlineStr">
        <is>
          <t>MIS-01</t>
        </is>
      </c>
      <c r="B66" s="14" t="inlineStr">
        <is>
          <t>MIS upload</t>
        </is>
      </c>
      <c r="C66" s="14" t="inlineStr">
        <is>
          <t>Upload a valid MIS .xlsx</t>
        </is>
      </c>
      <c r="D66" s="14" t="inlineStr">
        <is>
          <t>Positive</t>
        </is>
      </c>
      <c r="E66" s="14" t="inlineStr">
        <is>
          <t>High</t>
        </is>
      </c>
      <c r="F66" s="14" t="inlineStr">
        <is>
          <t>Logged in with upload permission</t>
        </is>
      </c>
      <c r="G66" s="14" t="inlineStr">
        <is>
          <t>1. MIS Upload &gt; Choose file
2. Select the MIS file
3. Click Upload</t>
        </is>
      </c>
      <c r="H66" s="14" t="inlineStr">
        <is>
          <t>Pokonut_AWB_July2026.xlsx</t>
        </is>
      </c>
      <c r="I66" s="14" t="inlineStr">
        <is>
          <t>Toast 'File uploaded successfully'. File appears in Past uploads with correct row count and time.</t>
        </is>
      </c>
      <c r="J66" s="15" t="inlineStr">
        <is>
          <t>Not Run</t>
        </is>
      </c>
      <c r="K66" s="15" t="n"/>
      <c r="L66" s="15" t="n"/>
      <c r="M66" s="16" t="n"/>
      <c r="N66" s="15" t="n"/>
    </row>
    <row r="67">
      <c r="A67" s="13" t="inlineStr">
        <is>
          <t>MIS-02</t>
        </is>
      </c>
      <c r="B67" s="14" t="inlineStr">
        <is>
          <t>MIS upload</t>
        </is>
      </c>
      <c r="C67" s="14" t="inlineStr">
        <is>
          <t>Upload .xls file</t>
        </is>
      </c>
      <c r="D67" s="14" t="inlineStr">
        <is>
          <t>Positive</t>
        </is>
      </c>
      <c r="E67" s="14" t="inlineStr">
        <is>
          <t>Low</t>
        </is>
      </c>
      <c r="F67" s="14" t="inlineStr">
        <is>
          <t>-</t>
        </is>
      </c>
      <c r="G67" s="14" t="inlineStr">
        <is>
          <t>1. Upload an .xls MIS file</t>
        </is>
      </c>
      <c r="H67" s="14" t="inlineStr">
        <is>
          <t>-</t>
        </is>
      </c>
      <c r="I67" s="14" t="inlineStr">
        <is>
          <t>Accepted or rejected with a clear message.</t>
        </is>
      </c>
      <c r="J67" s="15" t="inlineStr">
        <is>
          <t>Not Run</t>
        </is>
      </c>
      <c r="K67" s="15" t="n"/>
      <c r="L67" s="15" t="n"/>
      <c r="M67" s="16" t="n"/>
      <c r="N67" s="15" t="n"/>
    </row>
    <row r="68">
      <c r="A68" s="13" t="inlineStr">
        <is>
          <t>MIS-03</t>
        </is>
      </c>
      <c r="B68" s="14" t="inlineStr">
        <is>
          <t>MIS upload</t>
        </is>
      </c>
      <c r="C68" s="14" t="inlineStr">
        <is>
          <t>Upload without choosing a file</t>
        </is>
      </c>
      <c r="D68" s="14" t="inlineStr">
        <is>
          <t>Negative</t>
        </is>
      </c>
      <c r="E68" s="14" t="inlineStr">
        <is>
          <t>Medium</t>
        </is>
      </c>
      <c r="F68" s="14" t="inlineStr">
        <is>
          <t>-</t>
        </is>
      </c>
      <c r="G68" s="14" t="inlineStr">
        <is>
          <t>1. Click Upload with no file</t>
        </is>
      </c>
      <c r="H68" s="14" t="inlineStr">
        <is>
          <t>-</t>
        </is>
      </c>
      <c r="I68" s="14" t="inlineStr">
        <is>
          <t>Warning toast 'No file chosen'.</t>
        </is>
      </c>
      <c r="J68" s="15" t="inlineStr">
        <is>
          <t>Not Run</t>
        </is>
      </c>
      <c r="K68" s="15" t="n"/>
      <c r="L68" s="15" t="n"/>
      <c r="M68" s="16" t="n"/>
      <c r="N68" s="15" t="n"/>
    </row>
    <row r="69">
      <c r="A69" s="13" t="inlineStr">
        <is>
          <t>MIS-04</t>
        </is>
      </c>
      <c r="B69" s="14" t="inlineStr">
        <is>
          <t>MIS upload</t>
        </is>
      </c>
      <c r="C69" s="14" t="inlineStr">
        <is>
          <t>Upload a wrong file type</t>
        </is>
      </c>
      <c r="D69" s="14" t="inlineStr">
        <is>
          <t>Negative</t>
        </is>
      </c>
      <c r="E69" s="14" t="inlineStr">
        <is>
          <t>High</t>
        </is>
      </c>
      <c r="F69" s="14" t="inlineStr">
        <is>
          <t>-</t>
        </is>
      </c>
      <c r="G69" s="14" t="inlineStr">
        <is>
          <t>1. Try .csv, .pdf, .png</t>
        </is>
      </c>
      <c r="H69" s="14" t="inlineStr">
        <is>
          <t>sample.pdf</t>
        </is>
      </c>
      <c r="I69" s="14" t="inlineStr">
        <is>
          <t>File is refused (picker filter or server error). No bad data saved.</t>
        </is>
      </c>
      <c r="J69" s="15" t="inlineStr">
        <is>
          <t>Not Run</t>
        </is>
      </c>
      <c r="K69" s="15" t="n"/>
      <c r="L69" s="15" t="n"/>
      <c r="M69" s="16" t="n"/>
      <c r="N69" s="15" t="n"/>
    </row>
    <row r="70">
      <c r="A70" s="13" t="inlineStr">
        <is>
          <t>MIS-05</t>
        </is>
      </c>
      <c r="B70" s="14" t="inlineStr">
        <is>
          <t>MIS upload</t>
        </is>
      </c>
      <c r="C70" s="14" t="inlineStr">
        <is>
          <t>Upload an empty workbook</t>
        </is>
      </c>
      <c r="D70" s="14" t="inlineStr">
        <is>
          <t>Negative</t>
        </is>
      </c>
      <c r="E70" s="14" t="inlineStr">
        <is>
          <t>Medium</t>
        </is>
      </c>
      <c r="F70" s="14" t="inlineStr">
        <is>
          <t>-</t>
        </is>
      </c>
      <c r="G70" s="14" t="inlineStr">
        <is>
          <t>1. Upload an .xlsx with only headers</t>
        </is>
      </c>
      <c r="H70" s="14" t="inlineStr">
        <is>
          <t>-</t>
        </is>
      </c>
      <c r="I70" s="14" t="inlineStr">
        <is>
          <t>Clear error or 0 rows; app does not crash.</t>
        </is>
      </c>
      <c r="J70" s="15" t="inlineStr">
        <is>
          <t>Not Run</t>
        </is>
      </c>
      <c r="K70" s="15" t="n"/>
      <c r="L70" s="15" t="n"/>
      <c r="M70" s="16" t="n"/>
      <c r="N70" s="15" t="n"/>
    </row>
    <row r="71">
      <c r="A71" s="13" t="inlineStr">
        <is>
          <t>MIS-06</t>
        </is>
      </c>
      <c r="B71" s="14" t="inlineStr">
        <is>
          <t>MIS upload</t>
        </is>
      </c>
      <c r="C71" s="14" t="inlineStr">
        <is>
          <t>Missing required columns</t>
        </is>
      </c>
      <c r="D71" s="14" t="inlineStr">
        <is>
          <t>Negative</t>
        </is>
      </c>
      <c r="E71" s="14" t="inlineStr">
        <is>
          <t>High</t>
        </is>
      </c>
      <c r="F71" s="14" t="inlineStr">
        <is>
          <t>-</t>
        </is>
      </c>
      <c r="G71" s="14" t="inlineStr">
        <is>
          <t>1. Upload a file without AWB / freight columns</t>
        </is>
      </c>
      <c r="H71" s="14" t="inlineStr">
        <is>
          <t>-</t>
        </is>
      </c>
      <c r="I71" s="14" t="inlineStr">
        <is>
          <t>Error message naming the problem (400).</t>
        </is>
      </c>
      <c r="J71" s="15" t="inlineStr">
        <is>
          <t>Not Run</t>
        </is>
      </c>
      <c r="K71" s="15" t="n"/>
      <c r="L71" s="15" t="n"/>
      <c r="M71" s="16" t="n"/>
      <c r="N71" s="15" t="n"/>
    </row>
    <row r="72">
      <c r="A72" s="13" t="inlineStr">
        <is>
          <t>MIS-07</t>
        </is>
      </c>
      <c r="B72" s="14" t="inlineStr">
        <is>
          <t>MIS upload</t>
        </is>
      </c>
      <c r="C72" s="14" t="inlineStr">
        <is>
          <t>Blank rows inside the file</t>
        </is>
      </c>
      <c r="D72" s="14" t="inlineStr">
        <is>
          <t>Edge</t>
        </is>
      </c>
      <c r="E72" s="14" t="inlineStr">
        <is>
          <t>Medium</t>
        </is>
      </c>
      <c r="F72" s="14" t="inlineStr">
        <is>
          <t>-</t>
        </is>
      </c>
      <c r="G72" s="14" t="inlineStr">
        <is>
          <t>1. Upload file with blank rows in the middle</t>
        </is>
      </c>
      <c r="H72" s="14" t="inlineStr">
        <is>
          <t>-</t>
        </is>
      </c>
      <c r="I72" s="14" t="inlineStr">
        <is>
          <t>Blank rows are skipped; row count matches real data rows.</t>
        </is>
      </c>
      <c r="J72" s="15" t="inlineStr">
        <is>
          <t>Not Run</t>
        </is>
      </c>
      <c r="K72" s="15" t="n"/>
      <c r="L72" s="15" t="n"/>
      <c r="M72" s="16" t="n"/>
      <c r="N72" s="15" t="n"/>
    </row>
    <row r="73">
      <c r="A73" s="13" t="inlineStr">
        <is>
          <t>MIS-08</t>
        </is>
      </c>
      <c r="B73" s="14" t="inlineStr">
        <is>
          <t>MIS upload</t>
        </is>
      </c>
      <c r="C73" s="14" t="inlineStr">
        <is>
          <t>Duplicate AWBs inside the file</t>
        </is>
      </c>
      <c r="D73" s="14" t="inlineStr">
        <is>
          <t>Edge</t>
        </is>
      </c>
      <c r="E73" s="14" t="inlineStr">
        <is>
          <t>Medium</t>
        </is>
      </c>
      <c r="F73" s="14" t="inlineStr">
        <is>
          <t>-</t>
        </is>
      </c>
      <c r="G73" s="14" t="inlineStr">
        <is>
          <t>1. Upload file where an AWB appears twice</t>
        </is>
      </c>
      <c r="H73" s="14" t="inlineStr">
        <is>
          <t>-</t>
        </is>
      </c>
      <c r="I73" s="14" t="inlineStr">
        <is>
          <t>Behaviour is consistent and documented (note counts).</t>
        </is>
      </c>
      <c r="J73" s="15" t="inlineStr">
        <is>
          <t>Not Run</t>
        </is>
      </c>
      <c r="K73" s="15" t="n"/>
      <c r="L73" s="15" t="n"/>
      <c r="M73" s="16" t="n"/>
      <c r="N73" s="15" t="n"/>
    </row>
    <row r="74">
      <c r="A74" s="13" t="inlineStr">
        <is>
          <t>MIS-09</t>
        </is>
      </c>
      <c r="B74" s="14" t="inlineStr">
        <is>
          <t>MIS upload</t>
        </is>
      </c>
      <c r="C74" s="14" t="inlineStr">
        <is>
          <t>AWB stored as number in Excel</t>
        </is>
      </c>
      <c r="D74" s="14" t="inlineStr">
        <is>
          <t>Edge</t>
        </is>
      </c>
      <c r="E74" s="14" t="inlineStr">
        <is>
          <t>High</t>
        </is>
      </c>
      <c r="F74" s="14" t="inlineStr">
        <is>
          <t>-</t>
        </is>
      </c>
      <c r="G74" s="14" t="inlineStr">
        <is>
          <t>1. Upload file where AWB cells are numeric, 14-15 digits</t>
        </is>
      </c>
      <c r="H74" s="14" t="inlineStr">
        <is>
          <t>153787860550393</t>
        </is>
      </c>
      <c r="I74" s="14" t="inlineStr">
        <is>
          <t>AWB is read in full (no scientific notation / rounding), matches shipment AWBs.</t>
        </is>
      </c>
      <c r="J74" s="15" t="inlineStr">
        <is>
          <t>Not Run</t>
        </is>
      </c>
      <c r="K74" s="15" t="n"/>
      <c r="L74" s="15" t="n"/>
      <c r="M74" s="16" t="n"/>
      <c r="N74" s="15" t="n"/>
    </row>
    <row r="75">
      <c r="A75" s="13" t="inlineStr">
        <is>
          <t>MIS-10</t>
        </is>
      </c>
      <c r="B75" s="14" t="inlineStr">
        <is>
          <t>MIS upload</t>
        </is>
      </c>
      <c r="C75" s="14" t="inlineStr">
        <is>
          <t>Large MIS file (100k+ rows)</t>
        </is>
      </c>
      <c r="D75" s="14" t="inlineStr">
        <is>
          <t>Performance</t>
        </is>
      </c>
      <c r="E75" s="14" t="inlineStr">
        <is>
          <t>High</t>
        </is>
      </c>
      <c r="F75" s="14" t="inlineStr">
        <is>
          <t>-</t>
        </is>
      </c>
      <c r="G75" s="14" t="inlineStr">
        <is>
          <t>1. Upload a 100k+ row file</t>
        </is>
      </c>
      <c r="H75" s="14" t="inlineStr">
        <is>
          <t>140k rows</t>
        </is>
      </c>
      <c r="I75" s="14" t="inlineStr">
        <is>
          <t>Upload completes without server crash or out-of-memory; row count correct.</t>
        </is>
      </c>
      <c r="J75" s="15" t="inlineStr">
        <is>
          <t>Not Run</t>
        </is>
      </c>
      <c r="K75" s="15" t="n"/>
      <c r="L75" s="15" t="n"/>
      <c r="M75" s="16" t="n"/>
      <c r="N75" s="15" t="n"/>
    </row>
    <row r="76">
      <c r="A76" s="13" t="inlineStr">
        <is>
          <t>MIS-11</t>
        </is>
      </c>
      <c r="B76" s="14" t="inlineStr">
        <is>
          <t>MIS upload</t>
        </is>
      </c>
      <c r="C76" s="14" t="inlineStr">
        <is>
          <t>Upload success list details</t>
        </is>
      </c>
      <c r="D76" s="14" t="inlineStr">
        <is>
          <t>Positive</t>
        </is>
      </c>
      <c r="E76" s="14" t="inlineStr">
        <is>
          <t>Medium</t>
        </is>
      </c>
      <c r="F76" s="14" t="inlineStr">
        <is>
          <t>-</t>
        </is>
      </c>
      <c r="G76" s="14" t="inlineStr">
        <is>
          <t>1. Check Past uploads table</t>
        </is>
      </c>
      <c r="H76" s="14" t="inlineStr">
        <is>
          <t>-</t>
        </is>
      </c>
      <c r="I76" s="14" t="inlineStr">
        <is>
          <t>Filename, Rows (with thousands separators), Uploaded date, Runs badge shown.</t>
        </is>
      </c>
      <c r="J76" s="15" t="inlineStr">
        <is>
          <t>Not Run</t>
        </is>
      </c>
      <c r="K76" s="15" t="n"/>
      <c r="L76" s="15" t="n"/>
      <c r="M76" s="16" t="n"/>
      <c r="N76" s="15" t="n"/>
    </row>
    <row r="77">
      <c r="A77" s="13" t="inlineStr">
        <is>
          <t>MIS-12</t>
        </is>
      </c>
      <c r="B77" s="14" t="inlineStr">
        <is>
          <t>MIS upload</t>
        </is>
      </c>
      <c r="C77" s="14" t="inlineStr">
        <is>
          <t>Runs badge counts</t>
        </is>
      </c>
      <c r="D77" s="14" t="inlineStr">
        <is>
          <t>Positive</t>
        </is>
      </c>
      <c r="E77" s="14" t="inlineStr">
        <is>
          <t>Medium</t>
        </is>
      </c>
      <c r="F77" s="14" t="inlineStr">
        <is>
          <t>File has runs</t>
        </is>
      </c>
      <c r="G77" s="14" t="inlineStr">
        <is>
          <t>1. Check the Runs column</t>
        </is>
      </c>
      <c r="H77" s="14" t="inlineStr">
        <is>
          <t>-</t>
        </is>
      </c>
      <c r="I77" s="14" t="inlineStr">
        <is>
          <t>Shows 'N runs' or 'Not run yet' correctly.</t>
        </is>
      </c>
      <c r="J77" s="15" t="inlineStr">
        <is>
          <t>Not Run</t>
        </is>
      </c>
      <c r="K77" s="15" t="n"/>
      <c r="L77" s="15" t="n"/>
      <c r="M77" s="16" t="n"/>
      <c r="N77" s="15" t="n"/>
    </row>
    <row r="78">
      <c r="A78" s="13" t="inlineStr">
        <is>
          <t>MIS-13</t>
        </is>
      </c>
      <c r="B78" s="14" t="inlineStr">
        <is>
          <t>MIS upload</t>
        </is>
      </c>
      <c r="C78" s="14" t="inlineStr">
        <is>
          <t>Run reconciliation - progress banner</t>
        </is>
      </c>
      <c r="D78" s="14" t="inlineStr">
        <is>
          <t>Positive</t>
        </is>
      </c>
      <c r="E78" s="14" t="inlineStr">
        <is>
          <t>High</t>
        </is>
      </c>
      <c r="F78" s="14" t="inlineStr">
        <is>
          <t>Uploaded file, Edit permission</t>
        </is>
      </c>
      <c r="G78" s="14" t="inlineStr">
        <is>
          <t>1. Click Run reconciliation</t>
        </is>
      </c>
      <c r="H78" s="14" t="inlineStr">
        <is>
          <t>-</t>
        </is>
      </c>
      <c r="I78" s="14" t="inlineStr">
        <is>
          <t>Banner 'Reconciling N rows...' with progress bar; other Run buttons disabled while running.</t>
        </is>
      </c>
      <c r="J78" s="15" t="inlineStr">
        <is>
          <t>Not Run</t>
        </is>
      </c>
      <c r="K78" s="15" t="n"/>
      <c r="L78" s="15" t="n"/>
      <c r="M78" s="16" t="n"/>
      <c r="N78" s="15" t="n"/>
    </row>
    <row r="79">
      <c r="A79" s="13" t="inlineStr">
        <is>
          <t>MIS-14</t>
        </is>
      </c>
      <c r="B79" s="14" t="inlineStr">
        <is>
          <t>MIS upload</t>
        </is>
      </c>
      <c r="C79" s="14" t="inlineStr">
        <is>
          <t>Run reconciliation - completion toast</t>
        </is>
      </c>
      <c r="D79" s="14" t="inlineStr">
        <is>
          <t>Positive</t>
        </is>
      </c>
      <c r="E79" s="14" t="inlineStr">
        <is>
          <t>High</t>
        </is>
      </c>
      <c r="F79" s="14" t="inlineStr">
        <is>
          <t>-</t>
        </is>
      </c>
      <c r="G79" s="14" t="inlineStr">
        <is>
          <t>1. Wait for the run to finish</t>
        </is>
      </c>
      <c r="H79" s="14" t="inlineStr">
        <is>
          <t>-</t>
        </is>
      </c>
      <c r="I79" s="14" t="inlineStr">
        <is>
          <t>Toast 'Reconciliation completed successfully' with run number and matched/mismatched counts; page opens the new run.</t>
        </is>
      </c>
      <c r="J79" s="15" t="inlineStr">
        <is>
          <t>Not Run</t>
        </is>
      </c>
      <c r="K79" s="15" t="n"/>
      <c r="L79" s="15" t="n"/>
      <c r="M79" s="16" t="n"/>
      <c r="N79" s="15" t="n"/>
    </row>
    <row r="80">
      <c r="A80" s="13" t="inlineStr">
        <is>
          <t>MIS-15</t>
        </is>
      </c>
      <c r="B80" s="14" t="inlineStr">
        <is>
          <t>MIS upload</t>
        </is>
      </c>
      <c r="C80" s="14" t="inlineStr">
        <is>
          <t>Run again warning</t>
        </is>
      </c>
      <c r="D80" s="14" t="inlineStr">
        <is>
          <t>Positive</t>
        </is>
      </c>
      <c r="E80" s="14" t="inlineStr">
        <is>
          <t>High</t>
        </is>
      </c>
      <c r="F80" s="14" t="inlineStr">
        <is>
          <t>File already has runs</t>
        </is>
      </c>
      <c r="G80" s="14" t="inlineStr">
        <is>
          <t>1. Click Run reconciliation on that file</t>
        </is>
      </c>
      <c r="H80" s="14" t="inlineStr">
        <is>
          <t>-</t>
        </is>
      </c>
      <c r="I80" s="14" t="inlineStr">
        <is>
          <t>Dialog 'already has N reconciliation runs. Run it again anyway?'. Cancel does nothing; 'Run again' starts a run.</t>
        </is>
      </c>
      <c r="J80" s="15" t="inlineStr">
        <is>
          <t>Not Run</t>
        </is>
      </c>
      <c r="K80" s="15" t="n"/>
      <c r="L80" s="15" t="n"/>
      <c r="M80" s="16" t="n"/>
      <c r="N80" s="15" t="n"/>
    </row>
    <row r="81">
      <c r="A81" s="13" t="inlineStr">
        <is>
          <t>MIS-16</t>
        </is>
      </c>
      <c r="B81" s="14" t="inlineStr">
        <is>
          <t>MIS upload</t>
        </is>
      </c>
      <c r="C81" s="14" t="inlineStr">
        <is>
          <t>Double click Run reconciliation</t>
        </is>
      </c>
      <c r="D81" s="14" t="inlineStr">
        <is>
          <t>Edge</t>
        </is>
      </c>
      <c r="E81" s="14" t="inlineStr">
        <is>
          <t>Medium</t>
        </is>
      </c>
      <c r="F81" s="14" t="inlineStr">
        <is>
          <t>-</t>
        </is>
      </c>
      <c r="G81" s="14" t="inlineStr">
        <is>
          <t>1. Double-click quickly</t>
        </is>
      </c>
      <c r="H81" s="14" t="inlineStr">
        <is>
          <t>-</t>
        </is>
      </c>
      <c r="I81" s="14" t="inlineStr">
        <is>
          <t>Only one run is created.</t>
        </is>
      </c>
      <c r="J81" s="15" t="inlineStr">
        <is>
          <t>Not Run</t>
        </is>
      </c>
      <c r="K81" s="15" t="n"/>
      <c r="L81" s="15" t="n"/>
      <c r="M81" s="16" t="n"/>
      <c r="N81" s="15" t="n"/>
    </row>
    <row r="82">
      <c r="A82" s="13" t="inlineStr">
        <is>
          <t>MIS-17</t>
        </is>
      </c>
      <c r="B82" s="14" t="inlineStr">
        <is>
          <t>MIS upload</t>
        </is>
      </c>
      <c r="C82" s="14" t="inlineStr">
        <is>
          <t>Run with no shipment data loaded</t>
        </is>
      </c>
      <c r="D82" s="14" t="inlineStr">
        <is>
          <t>Edge</t>
        </is>
      </c>
      <c r="E82" s="14" t="inlineStr">
        <is>
          <t>High</t>
        </is>
      </c>
      <c r="F82" s="14" t="inlineStr">
        <is>
          <t>Shipments table empty</t>
        </is>
      </c>
      <c r="G82" s="14" t="inlineStr">
        <is>
          <t>1. Run reconciliation</t>
        </is>
      </c>
      <c r="H82" s="14" t="inlineStr">
        <is>
          <t>-</t>
        </is>
      </c>
      <c r="I82" s="14" t="inlineStr">
        <is>
          <t>Every row is NO_API_DATA; run completes.</t>
        </is>
      </c>
      <c r="J82" s="15" t="inlineStr">
        <is>
          <t>Not Run</t>
        </is>
      </c>
      <c r="K82" s="15" t="n"/>
      <c r="L82" s="15" t="n"/>
      <c r="M82" s="16" t="n"/>
      <c r="N82" s="15" t="n"/>
    </row>
    <row r="83">
      <c r="A83" s="13" t="inlineStr">
        <is>
          <t>MIS-18</t>
        </is>
      </c>
      <c r="B83" s="14" t="inlineStr">
        <is>
          <t>MIS upload</t>
        </is>
      </c>
      <c r="C83" s="14" t="inlineStr">
        <is>
          <t>Run with no rate card</t>
        </is>
      </c>
      <c r="D83" s="14" t="inlineStr">
        <is>
          <t>Negative</t>
        </is>
      </c>
      <c r="E83" s="14" t="inlineStr">
        <is>
          <t>High</t>
        </is>
      </c>
      <c r="F83" s="14" t="inlineStr">
        <is>
          <t>No active rate card</t>
        </is>
      </c>
      <c r="G83" s="14" t="inlineStr">
        <is>
          <t>1. Run reconciliation</t>
        </is>
      </c>
      <c r="H83" s="14" t="inlineStr">
        <is>
          <t>-</t>
        </is>
      </c>
      <c r="I83" s="14" t="inlineStr">
        <is>
          <t>Clear error or RATE_NOT_FOUND rows; no crash.</t>
        </is>
      </c>
      <c r="J83" s="15" t="inlineStr">
        <is>
          <t>Not Run</t>
        </is>
      </c>
      <c r="K83" s="15" t="n"/>
      <c r="L83" s="15" t="n"/>
      <c r="M83" s="16" t="n"/>
      <c r="N83" s="15" t="n"/>
    </row>
    <row r="84">
      <c r="A84" s="13" t="inlineStr">
        <is>
          <t>MIS-19</t>
        </is>
      </c>
      <c r="B84" s="14" t="inlineStr">
        <is>
          <t>MIS upload</t>
        </is>
      </c>
      <c r="C84" s="14" t="inlineStr">
        <is>
          <t>Run with no zone reference</t>
        </is>
      </c>
      <c r="D84" s="14" t="inlineStr">
        <is>
          <t>Negative</t>
        </is>
      </c>
      <c r="E84" s="14" t="inlineStr">
        <is>
          <t>High</t>
        </is>
      </c>
      <c r="F84" s="14" t="inlineStr">
        <is>
          <t>Zone maps empty</t>
        </is>
      </c>
      <c r="G84" s="14" t="inlineStr">
        <is>
          <t>1. Run reconciliation</t>
        </is>
      </c>
      <c r="H84" s="14" t="inlineStr">
        <is>
          <t>-</t>
        </is>
      </c>
      <c r="I84" s="14" t="inlineStr">
        <is>
          <t>Rows show ZONE_NOT_FOUND or a clear error.</t>
        </is>
      </c>
      <c r="J84" s="15" t="inlineStr">
        <is>
          <t>Not Run</t>
        </is>
      </c>
      <c r="K84" s="15" t="n"/>
      <c r="L84" s="15" t="n"/>
      <c r="M84" s="16" t="n"/>
      <c r="N84" s="15" t="n"/>
    </row>
    <row r="85">
      <c r="A85" s="13" t="inlineStr">
        <is>
          <t>MIS-20</t>
        </is>
      </c>
      <c r="B85" s="14" t="inlineStr">
        <is>
          <t>MIS upload</t>
        </is>
      </c>
      <c r="C85" s="14" t="inlineStr">
        <is>
          <t>File name with special characters</t>
        </is>
      </c>
      <c r="D85" s="14" t="inlineStr">
        <is>
          <t>Edge</t>
        </is>
      </c>
      <c r="E85" s="14" t="inlineStr">
        <is>
          <t>Low</t>
        </is>
      </c>
      <c r="F85" s="14" t="inlineStr">
        <is>
          <t>-</t>
        </is>
      </c>
      <c r="G85" s="14" t="inlineStr">
        <is>
          <t>1. Upload 'MIS (6) - July &amp; Aug.xlsx'</t>
        </is>
      </c>
      <c r="H85" s="14" t="inlineStr">
        <is>
          <t>-</t>
        </is>
      </c>
      <c r="I85" s="14" t="inlineStr">
        <is>
          <t>Name stored and displayed correctly.</t>
        </is>
      </c>
      <c r="J85" s="15" t="inlineStr">
        <is>
          <t>Not Run</t>
        </is>
      </c>
      <c r="K85" s="15" t="n"/>
      <c r="L85" s="15" t="n"/>
      <c r="M85" s="16" t="n"/>
      <c r="N85" s="15" t="n"/>
    </row>
    <row r="86">
      <c r="A86" s="13" t="inlineStr">
        <is>
          <t>MIS-21</t>
        </is>
      </c>
      <c r="B86" s="14" t="inlineStr">
        <is>
          <t>MIS upload</t>
        </is>
      </c>
      <c r="C86" s="14" t="inlineStr">
        <is>
          <t>Upload button disabled during upload</t>
        </is>
      </c>
      <c r="D86" s="14" t="inlineStr">
        <is>
          <t>Edge</t>
        </is>
      </c>
      <c r="E86" s="14" t="inlineStr">
        <is>
          <t>Low</t>
        </is>
      </c>
      <c r="F86" s="14" t="inlineStr">
        <is>
          <t>-</t>
        </is>
      </c>
      <c r="G86" s="14" t="inlineStr">
        <is>
          <t>1. Click Upload and watch</t>
        </is>
      </c>
      <c r="H86" s="14" t="inlineStr">
        <is>
          <t>-</t>
        </is>
      </c>
      <c r="I86" s="14" t="inlineStr">
        <is>
          <t>Shows 'Uploading...' and cannot be double-submitted.</t>
        </is>
      </c>
      <c r="J86" s="15" t="inlineStr">
        <is>
          <t>Not Run</t>
        </is>
      </c>
      <c r="K86" s="15" t="n"/>
      <c r="L86" s="15" t="n"/>
      <c r="M86" s="16" t="n"/>
      <c r="N86" s="15" t="n"/>
    </row>
    <row r="87">
      <c r="A87" s="13" t="inlineStr">
        <is>
          <t>MIS-22</t>
        </is>
      </c>
      <c r="B87" s="14" t="inlineStr">
        <is>
          <t>MIS upload</t>
        </is>
      </c>
      <c r="C87" s="14" t="inlineStr">
        <is>
          <t>Server error during run</t>
        </is>
      </c>
      <c r="D87" s="14" t="inlineStr">
        <is>
          <t>Negative</t>
        </is>
      </c>
      <c r="E87" s="14" t="inlineStr">
        <is>
          <t>Medium</t>
        </is>
      </c>
      <c r="F87" s="14" t="inlineStr">
        <is>
          <t>-</t>
        </is>
      </c>
      <c r="G87" s="14" t="inlineStr">
        <is>
          <t>1. Stop the DB or backend mid-run</t>
        </is>
      </c>
      <c r="H87" s="14" t="inlineStr">
        <is>
          <t>-</t>
        </is>
      </c>
      <c r="I87" s="14" t="inlineStr">
        <is>
          <t>Error toast 'Reconciliation failed'; banner disappears; no half-saved run shown.</t>
        </is>
      </c>
      <c r="J87" s="15" t="inlineStr">
        <is>
          <t>Not Run</t>
        </is>
      </c>
      <c r="K87" s="15" t="n"/>
      <c r="L87" s="15" t="n"/>
      <c r="M87" s="16" t="n"/>
      <c r="N87" s="15" t="n"/>
    </row>
    <row r="88">
      <c r="A88" s="13" t="inlineStr">
        <is>
          <t>SHP-01</t>
        </is>
      </c>
      <c r="B88" s="14" t="inlineStr">
        <is>
          <t>Shipment data upload</t>
        </is>
      </c>
      <c r="C88" s="14" t="inlineStr">
        <is>
          <t>Download template</t>
        </is>
      </c>
      <c r="D88" s="14" t="inlineStr">
        <is>
          <t>Positive</t>
        </is>
      </c>
      <c r="E88" s="14" t="inlineStr">
        <is>
          <t>Low</t>
        </is>
      </c>
      <c r="F88" s="14" t="inlineStr">
        <is>
          <t>-</t>
        </is>
      </c>
      <c r="G88" s="14" t="inlineStr">
        <is>
          <t>1. Click Download template</t>
        </is>
      </c>
      <c r="H88" s="14" t="inlineStr">
        <is>
          <t>-</t>
        </is>
      </c>
      <c r="I88" s="14" t="inlineStr">
        <is>
          <t>An .xlsx downloads with the expected columns.</t>
        </is>
      </c>
      <c r="J88" s="15" t="inlineStr">
        <is>
          <t>Not Run</t>
        </is>
      </c>
      <c r="K88" s="15" t="n"/>
      <c r="L88" s="15" t="n"/>
      <c r="M88" s="16" t="n"/>
      <c r="N88" s="15" t="n"/>
    </row>
    <row r="89">
      <c r="A89" s="13" t="inlineStr">
        <is>
          <t>SHP-02</t>
        </is>
      </c>
      <c r="B89" s="14" t="inlineStr">
        <is>
          <t>Shipment data upload</t>
        </is>
      </c>
      <c r="C89" s="14" t="inlineStr">
        <is>
          <t>Upload Kwikship shipment report as-is</t>
        </is>
      </c>
      <c r="D89" s="14" t="inlineStr">
        <is>
          <t>Positive</t>
        </is>
      </c>
      <c r="E89" s="14" t="inlineStr">
        <is>
          <t>High</t>
        </is>
      </c>
      <c r="F89" s="14" t="inlineStr">
        <is>
          <t>Upload permission</t>
        </is>
      </c>
      <c r="G89" s="14" t="inlineStr">
        <is>
          <t>1. Upload the raw Kwikship shipment report export</t>
        </is>
      </c>
      <c r="H89" s="14" t="inlineStr">
        <is>
          <t>-</t>
        </is>
      </c>
      <c r="I89" s="14" t="inlineStr">
        <is>
          <t>Message 'Loaded X of Y rows'; counts update in Current shipment data.</t>
        </is>
      </c>
      <c r="J89" s="15" t="inlineStr">
        <is>
          <t>Not Run</t>
        </is>
      </c>
      <c r="K89" s="15" t="n"/>
      <c r="L89" s="15" t="n"/>
      <c r="M89" s="16" t="n"/>
      <c r="N89" s="15" t="n"/>
    </row>
    <row r="90">
      <c r="A90" s="13" t="inlineStr">
        <is>
          <t>SHP-03</t>
        </is>
      </c>
      <c r="B90" s="14" t="inlineStr">
        <is>
          <t>Shipment data upload</t>
        </is>
      </c>
      <c r="C90" s="14" t="inlineStr">
        <is>
          <t>Weight in grams is converted to kg</t>
        </is>
      </c>
      <c r="D90" s="14" t="inlineStr">
        <is>
          <t>Positive</t>
        </is>
      </c>
      <c r="E90" s="14" t="inlineStr">
        <is>
          <t>High</t>
        </is>
      </c>
      <c r="F90" s="14" t="inlineStr">
        <is>
          <t>-</t>
        </is>
      </c>
      <c r="G90" s="14" t="inlineStr">
        <is>
          <t>1. Upload rows with Weight 100, 500, 1250</t>
        </is>
      </c>
      <c r="H90" s="14" t="inlineStr">
        <is>
          <t>100 / 500 / 1250</t>
        </is>
      </c>
      <c r="I90" s="14" t="inlineStr">
        <is>
          <t>Stored as 0.1 / 0.5 / 1.25 kg.</t>
        </is>
      </c>
      <c r="J90" s="15" t="inlineStr">
        <is>
          <t>Not Run</t>
        </is>
      </c>
      <c r="K90" s="15" t="n"/>
      <c r="L90" s="15" t="n"/>
      <c r="M90" s="16" t="n"/>
      <c r="N90" s="15" t="n"/>
    </row>
    <row r="91">
      <c r="A91" s="13" t="inlineStr">
        <is>
          <t>SHP-04</t>
        </is>
      </c>
      <c r="B91" s="14" t="inlineStr">
        <is>
          <t>Shipment data upload</t>
        </is>
      </c>
      <c r="C91" s="14" t="inlineStr">
        <is>
          <t>Very small weights are treated as grams</t>
        </is>
      </c>
      <c r="D91" s="14" t="inlineStr">
        <is>
          <t>Regression</t>
        </is>
      </c>
      <c r="E91" s="14" t="inlineStr">
        <is>
          <t>High</t>
        </is>
      </c>
      <c r="F91" s="14" t="inlineStr">
        <is>
          <t>-</t>
        </is>
      </c>
      <c r="G91" s="14" t="inlineStr">
        <is>
          <t>1. Upload rows with Weight 1, 2, 3, 10</t>
        </is>
      </c>
      <c r="H91" s="14" t="inlineStr">
        <is>
          <t>1, 2, 3, 10</t>
        </is>
      </c>
      <c r="I91" s="14" t="inlineStr">
        <is>
          <t>Stored as 0.001, 0.002, 0.003, 0.01 kg - NOT as 1, 2, 3, 10 kg.</t>
        </is>
      </c>
      <c r="J91" s="15" t="inlineStr">
        <is>
          <t>Not Run</t>
        </is>
      </c>
      <c r="K91" s="15" t="n"/>
      <c r="L91" s="15" t="n"/>
      <c r="M91" s="16" t="n"/>
      <c r="N91" s="15" t="n"/>
    </row>
    <row r="92">
      <c r="A92" s="13" t="inlineStr">
        <is>
          <t>SHP-05</t>
        </is>
      </c>
      <c r="B92" s="14" t="inlineStr">
        <is>
          <t>Shipment data upload</t>
        </is>
      </c>
      <c r="C92" s="14" t="inlineStr">
        <is>
          <t>Pickup pincode extracted from address</t>
        </is>
      </c>
      <c r="D92" s="14" t="inlineStr">
        <is>
          <t>Positive</t>
        </is>
      </c>
      <c r="E92" s="14" t="inlineStr">
        <is>
          <t>High</t>
        </is>
      </c>
      <c r="F92" s="14" t="inlineStr">
        <is>
          <t>-</t>
        </is>
      </c>
      <c r="G92" s="14" t="inlineStr">
        <is>
          <t>1. Upload rows with only 'Pickup Address' ending in a pincode</t>
        </is>
      </c>
      <c r="H92" s="14" t="inlineStr">
        <is>
          <t>'..., Bengaluru 560076'</t>
        </is>
      </c>
      <c r="I92" s="14" t="inlineStr">
        <is>
          <t>Pickup pincode = 560076.</t>
        </is>
      </c>
      <c r="J92" s="15" t="inlineStr">
        <is>
          <t>Not Run</t>
        </is>
      </c>
      <c r="K92" s="15" t="n"/>
      <c r="L92" s="15" t="n"/>
      <c r="M92" s="16" t="n"/>
      <c r="N92" s="15" t="n"/>
    </row>
    <row r="93">
      <c r="A93" s="13" t="inlineStr">
        <is>
          <t>SHP-06</t>
        </is>
      </c>
      <c r="B93" s="14" t="inlineStr">
        <is>
          <t>Shipment data upload</t>
        </is>
      </c>
      <c r="C93" s="14" t="inlineStr">
        <is>
          <t>Separate Pickup Pincode column</t>
        </is>
      </c>
      <c r="D93" s="14" t="inlineStr">
        <is>
          <t>Positive</t>
        </is>
      </c>
      <c r="E93" s="14" t="inlineStr">
        <is>
          <t>Medium</t>
        </is>
      </c>
      <c r="F93" s="14" t="inlineStr">
        <is>
          <t>-</t>
        </is>
      </c>
      <c r="G93" s="14" t="inlineStr">
        <is>
          <t>1. Upload with a Pickup Pincode column</t>
        </is>
      </c>
      <c r="H93" s="14" t="inlineStr">
        <is>
          <t>-</t>
        </is>
      </c>
      <c r="I93" s="14" t="inlineStr">
        <is>
          <t>Column value is used.</t>
        </is>
      </c>
      <c r="J93" s="15" t="inlineStr">
        <is>
          <t>Not Run</t>
        </is>
      </c>
      <c r="K93" s="15" t="n"/>
      <c r="L93" s="15" t="n"/>
      <c r="M93" s="16" t="n"/>
      <c r="N93" s="15" t="n"/>
    </row>
    <row r="94">
      <c r="A94" s="13" t="inlineStr">
        <is>
          <t>SHP-07</t>
        </is>
      </c>
      <c r="B94" s="14" t="inlineStr">
        <is>
          <t>Shipment data upload</t>
        </is>
      </c>
      <c r="C94" s="14" t="inlineStr">
        <is>
          <t>Missing pickup pincode and address</t>
        </is>
      </c>
      <c r="D94" s="14" t="inlineStr">
        <is>
          <t>Negative</t>
        </is>
      </c>
      <c r="E94" s="14" t="inlineStr">
        <is>
          <t>Medium</t>
        </is>
      </c>
      <c r="F94" s="14" t="inlineStr">
        <is>
          <t>-</t>
        </is>
      </c>
      <c r="G94" s="14" t="inlineStr">
        <is>
          <t>1. Upload rows with neither</t>
        </is>
      </c>
      <c r="H94" s="14" t="inlineStr">
        <is>
          <t>-</t>
        </is>
      </c>
      <c r="I94" s="14" t="inlineStr">
        <is>
          <t>Rows are skipped/flagged; message shows fewer loaded than in file.</t>
        </is>
      </c>
      <c r="J94" s="15" t="inlineStr">
        <is>
          <t>Not Run</t>
        </is>
      </c>
      <c r="K94" s="15" t="n"/>
      <c r="L94" s="15" t="n"/>
      <c r="M94" s="16" t="n"/>
      <c r="N94" s="15" t="n"/>
    </row>
    <row r="95">
      <c r="A95" s="13" t="inlineStr">
        <is>
          <t>SHP-08</t>
        </is>
      </c>
      <c r="B95" s="14" t="inlineStr">
        <is>
          <t>Shipment data upload</t>
        </is>
      </c>
      <c r="C95" s="14" t="inlineStr">
        <is>
          <t>Missing required column (AWB / Status / Payment / Pincode / Weight)</t>
        </is>
      </c>
      <c r="D95" s="14" t="inlineStr">
        <is>
          <t>Negative</t>
        </is>
      </c>
      <c r="E95" s="14" t="inlineStr">
        <is>
          <t>High</t>
        </is>
      </c>
      <c r="F95" s="14" t="inlineStr">
        <is>
          <t>-</t>
        </is>
      </c>
      <c r="G95" s="14" t="inlineStr">
        <is>
          <t>1. Remove one required column and upload</t>
        </is>
      </c>
      <c r="H95" s="14" t="inlineStr">
        <is>
          <t>-</t>
        </is>
      </c>
      <c r="I95" s="14" t="inlineStr">
        <is>
          <t>Clear error naming the missing column.</t>
        </is>
      </c>
      <c r="J95" s="15" t="inlineStr">
        <is>
          <t>Not Run</t>
        </is>
      </c>
      <c r="K95" s="15" t="n"/>
      <c r="L95" s="15" t="n"/>
      <c r="M95" s="16" t="n"/>
      <c r="N95" s="15" t="n"/>
    </row>
    <row r="96">
      <c r="A96" s="13" t="inlineStr">
        <is>
          <t>SHP-09</t>
        </is>
      </c>
      <c r="B96" s="14" t="inlineStr">
        <is>
          <t>Shipment data upload</t>
        </is>
      </c>
      <c r="C96" s="14" t="inlineStr">
        <is>
          <t>Payment mode values</t>
        </is>
      </c>
      <c r="D96" s="14" t="inlineStr">
        <is>
          <t>Edge</t>
        </is>
      </c>
      <c r="E96" s="14" t="inlineStr">
        <is>
          <t>Medium</t>
        </is>
      </c>
      <c r="F96" s="14" t="inlineStr">
        <is>
          <t>-</t>
        </is>
      </c>
      <c r="G96" s="14" t="inlineStr">
        <is>
          <t>1. Use 'COD', 'cod', 'Prepaid', 'PREPAID'</t>
        </is>
      </c>
      <c r="H96" s="14" t="inlineStr">
        <is>
          <t>-</t>
        </is>
      </c>
      <c r="I96" s="14" t="inlineStr">
        <is>
          <t>Stored consistently (upper/lower handled).</t>
        </is>
      </c>
      <c r="J96" s="15" t="inlineStr">
        <is>
          <t>Not Run</t>
        </is>
      </c>
      <c r="K96" s="15" t="n"/>
      <c r="L96" s="15" t="n"/>
      <c r="M96" s="16" t="n"/>
      <c r="N96" s="15" t="n"/>
    </row>
    <row r="97">
      <c r="A97" s="13" t="inlineStr">
        <is>
          <t>SHP-10</t>
        </is>
      </c>
      <c r="B97" s="14" t="inlineStr">
        <is>
          <t>Shipment data upload</t>
        </is>
      </c>
      <c r="C97" s="14" t="inlineStr">
        <is>
          <t>Duplicate AWB inside one file</t>
        </is>
      </c>
      <c r="D97" s="14" t="inlineStr">
        <is>
          <t>Edge</t>
        </is>
      </c>
      <c r="E97" s="14" t="inlineStr">
        <is>
          <t>High</t>
        </is>
      </c>
      <c r="F97" s="14" t="inlineStr">
        <is>
          <t>-</t>
        </is>
      </c>
      <c r="G97" s="14" t="inlineStr">
        <is>
          <t>1. Upload file with the same AWB twice</t>
        </is>
      </c>
      <c r="H97" s="14" t="inlineStr">
        <is>
          <t>-</t>
        </is>
      </c>
      <c r="I97" s="14" t="inlineStr">
        <is>
          <t>No database error; one record kept; loaded count is sensible.</t>
        </is>
      </c>
      <c r="J97" s="15" t="inlineStr">
        <is>
          <t>Not Run</t>
        </is>
      </c>
      <c r="K97" s="15" t="n"/>
      <c r="L97" s="15" t="n"/>
      <c r="M97" s="16" t="n"/>
      <c r="N97" s="15" t="n"/>
    </row>
    <row r="98">
      <c r="A98" s="13" t="inlineStr">
        <is>
          <t>SHP-11</t>
        </is>
      </c>
      <c r="B98" s="14" t="inlineStr">
        <is>
          <t>Shipment data upload</t>
        </is>
      </c>
      <c r="C98" s="14" t="inlineStr">
        <is>
          <t>Re-upload updates existing AWBs</t>
        </is>
      </c>
      <c r="D98" s="14" t="inlineStr">
        <is>
          <t>Data</t>
        </is>
      </c>
      <c r="E98" s="14" t="inlineStr">
        <is>
          <t>High</t>
        </is>
      </c>
      <c r="F98" s="14" t="inlineStr">
        <is>
          <t>AWBs already stored</t>
        </is>
      </c>
      <c r="G98" s="14" t="inlineStr">
        <is>
          <t>1. Change a status in the file
2. Re-upload</t>
        </is>
      </c>
      <c r="H98" s="14" t="inlineStr">
        <is>
          <t>-</t>
        </is>
      </c>
      <c r="I98" s="14" t="inlineStr">
        <is>
          <t>Stored status updates; count of AWBs does not double.</t>
        </is>
      </c>
      <c r="J98" s="15" t="inlineStr">
        <is>
          <t>Not Run</t>
        </is>
      </c>
      <c r="K98" s="15" t="n"/>
      <c r="L98" s="15" t="n"/>
      <c r="M98" s="16" t="n"/>
      <c r="N98" s="15" t="n"/>
    </row>
    <row r="99">
      <c r="A99" s="13" t="inlineStr">
        <is>
          <t>SHP-12</t>
        </is>
      </c>
      <c r="B99" s="14" t="inlineStr">
        <is>
          <t>Shipment data upload</t>
        </is>
      </c>
      <c r="C99" s="14" t="inlineStr">
        <is>
          <t>API sync vs manual upload precedence</t>
        </is>
      </c>
      <c r="D99" s="14" t="inlineStr">
        <is>
          <t>Data</t>
        </is>
      </c>
      <c r="E99" s="14" t="inlineStr">
        <is>
          <t>Medium</t>
        </is>
      </c>
      <c r="F99" s="14" t="inlineStr">
        <is>
          <t>Both sources have the same AWB</t>
        </is>
      </c>
      <c r="G99" s="14" t="inlineStr">
        <is>
          <t>1. Upload then sync (and the reverse)</t>
        </is>
      </c>
      <c r="H99" s="14" t="inlineStr">
        <is>
          <t>-</t>
        </is>
      </c>
      <c r="I99" s="14" t="inlineStr">
        <is>
          <t>The most recently loaded source is used in reconciliation.</t>
        </is>
      </c>
      <c r="J99" s="15" t="inlineStr">
        <is>
          <t>Not Run</t>
        </is>
      </c>
      <c r="K99" s="15" t="n"/>
      <c r="L99" s="15" t="n"/>
      <c r="M99" s="16" t="n"/>
      <c r="N99" s="15" t="n"/>
    </row>
    <row r="100">
      <c r="A100" s="13" t="inlineStr">
        <is>
          <t>SHP-13</t>
        </is>
      </c>
      <c r="B100" s="14" t="inlineStr">
        <is>
          <t>Shipment data upload</t>
        </is>
      </c>
      <c r="C100" s="14" t="inlineStr">
        <is>
          <t>Large file (140k rows)</t>
        </is>
      </c>
      <c r="D100" s="14" t="inlineStr">
        <is>
          <t>Performance</t>
        </is>
      </c>
      <c r="E100" s="14" t="inlineStr">
        <is>
          <t>High</t>
        </is>
      </c>
      <c r="F100" s="14" t="inlineStr">
        <is>
          <t>-</t>
        </is>
      </c>
      <c r="G100" s="14" t="inlineStr">
        <is>
          <t>1. Upload 140k rows</t>
        </is>
      </c>
      <c r="H100" s="14" t="inlineStr">
        <is>
          <t>-</t>
        </is>
      </c>
      <c r="I100" s="14" t="inlineStr">
        <is>
          <t>Completes without crash or timeout.</t>
        </is>
      </c>
      <c r="J100" s="15" t="inlineStr">
        <is>
          <t>Not Run</t>
        </is>
      </c>
      <c r="K100" s="15" t="n"/>
      <c r="L100" s="15" t="n"/>
      <c r="M100" s="16" t="n"/>
      <c r="N100" s="15" t="n"/>
    </row>
    <row r="101">
      <c r="A101" s="13" t="inlineStr">
        <is>
          <t>SHP-14</t>
        </is>
      </c>
      <c r="B101" s="14" t="inlineStr">
        <is>
          <t>Shipment data upload</t>
        </is>
      </c>
      <c r="C101" s="14" t="inlineStr">
        <is>
          <t>Invalid destination pincode</t>
        </is>
      </c>
      <c r="D101" s="14" t="inlineStr">
        <is>
          <t>Edge</t>
        </is>
      </c>
      <c r="E101" s="14" t="inlineStr">
        <is>
          <t>Low</t>
        </is>
      </c>
      <c r="F101" s="14" t="inlineStr">
        <is>
          <t>-</t>
        </is>
      </c>
      <c r="G101" s="14" t="inlineStr">
        <is>
          <t>1. Use a 5-digit or text pincode</t>
        </is>
      </c>
      <c r="H101" s="14" t="inlineStr">
        <is>
          <t>12345</t>
        </is>
      </c>
      <c r="I101" s="14" t="inlineStr">
        <is>
          <t>Row handled gracefully (skipped or ZONE_NOT_FOUND later).</t>
        </is>
      </c>
      <c r="J101" s="15" t="inlineStr">
        <is>
          <t>Not Run</t>
        </is>
      </c>
      <c r="K101" s="15" t="n"/>
      <c r="L101" s="15" t="n"/>
      <c r="M101" s="16" t="n"/>
      <c r="N101" s="15" t="n"/>
    </row>
    <row r="102">
      <c r="A102" s="13" t="inlineStr">
        <is>
          <t>SHP-15</t>
        </is>
      </c>
      <c r="B102" s="14" t="inlineStr">
        <is>
          <t>Shipment data upload</t>
        </is>
      </c>
      <c r="C102" s="14" t="inlineStr">
        <is>
          <t>No upload permission</t>
        </is>
      </c>
      <c r="D102" s="14" t="inlineStr">
        <is>
          <t>Security</t>
        </is>
      </c>
      <c r="E102" s="14" t="inlineStr">
        <is>
          <t>High</t>
        </is>
      </c>
      <c r="F102" s="14" t="inlineStr">
        <is>
          <t>View-only user</t>
        </is>
      </c>
      <c r="G102" s="14" t="inlineStr">
        <is>
          <t>1. Open Upload Shipment Data</t>
        </is>
      </c>
      <c r="H102" s="14" t="inlineStr">
        <is>
          <t>-</t>
        </is>
      </c>
      <c r="I102" s="14" t="inlineStr">
        <is>
          <t>Upload area hidden with a permission message.</t>
        </is>
      </c>
      <c r="J102" s="15" t="inlineStr">
        <is>
          <t>Not Run</t>
        </is>
      </c>
      <c r="K102" s="15" t="n"/>
      <c r="L102" s="15" t="n"/>
      <c r="M102" s="16" t="n"/>
      <c r="N102" s="15" t="n"/>
    </row>
    <row r="103">
      <c r="A103" s="13" t="inlineStr">
        <is>
          <t>SYN-01</t>
        </is>
      </c>
      <c r="B103" s="14" t="inlineStr">
        <is>
          <t>Sync from Kwikship API</t>
        </is>
      </c>
      <c r="C103" s="14" t="inlineStr">
        <is>
          <t>Sync a valid date range</t>
        </is>
      </c>
      <c r="D103" s="14" t="inlineStr">
        <is>
          <t>Positive</t>
        </is>
      </c>
      <c r="E103" s="14" t="inlineStr">
        <is>
          <t>High</t>
        </is>
      </c>
      <c r="F103" s="14" t="inlineStr">
        <is>
          <t>Valid Kwikship credentials; upload permission</t>
        </is>
      </c>
      <c r="G103" s="14" t="inlineStr">
        <is>
          <t>1. Pick From/To (30 days)
2. Click Run sync</t>
        </is>
      </c>
      <c r="H103" s="14" t="inlineStr">
        <is>
          <t>-</t>
        </is>
      </c>
      <c r="I103" s="14" t="inlineStr">
        <is>
          <t>Success message with listed/detailed counts; new row in Past syncs with 'completed'.</t>
        </is>
      </c>
      <c r="J103" s="15" t="inlineStr">
        <is>
          <t>Not Run</t>
        </is>
      </c>
      <c r="K103" s="15" t="n"/>
      <c r="L103" s="15" t="n"/>
      <c r="M103" s="16" t="n"/>
      <c r="N103" s="15" t="n"/>
    </row>
    <row r="104">
      <c r="A104" s="13" t="inlineStr">
        <is>
          <t>SYN-02</t>
        </is>
      </c>
      <c r="B104" s="14" t="inlineStr">
        <is>
          <t>Sync from Kwikship API</t>
        </is>
      </c>
      <c r="C104" s="14" t="inlineStr">
        <is>
          <t>Range longer than 30 days</t>
        </is>
      </c>
      <c r="D104" s="14" t="inlineStr">
        <is>
          <t>Edge</t>
        </is>
      </c>
      <c r="E104" s="14" t="inlineStr">
        <is>
          <t>Medium</t>
        </is>
      </c>
      <c r="F104" s="14" t="inlineStr">
        <is>
          <t>-</t>
        </is>
      </c>
      <c r="G104" s="14" t="inlineStr">
        <is>
          <t>1. Pick a 90-day range</t>
        </is>
      </c>
      <c r="H104" s="14" t="inlineStr">
        <is>
          <t>-</t>
        </is>
      </c>
      <c r="I104" s="14" t="inlineStr">
        <is>
          <t>Auto-chunked; all chunks synced; totals combined.</t>
        </is>
      </c>
      <c r="J104" s="15" t="inlineStr">
        <is>
          <t>Not Run</t>
        </is>
      </c>
      <c r="K104" s="15" t="n"/>
      <c r="L104" s="15" t="n"/>
      <c r="M104" s="16" t="n"/>
      <c r="N104" s="15" t="n"/>
    </row>
    <row r="105">
      <c r="A105" s="13" t="inlineStr">
        <is>
          <t>SYN-03</t>
        </is>
      </c>
      <c r="B105" s="14" t="inlineStr">
        <is>
          <t>Sync from Kwikship API</t>
        </is>
      </c>
      <c r="C105" s="14" t="inlineStr">
        <is>
          <t>From date after To date</t>
        </is>
      </c>
      <c r="D105" s="14" t="inlineStr">
        <is>
          <t>Negative</t>
        </is>
      </c>
      <c r="E105" s="14" t="inlineStr">
        <is>
          <t>Medium</t>
        </is>
      </c>
      <c r="F105" s="14" t="inlineStr">
        <is>
          <t>-</t>
        </is>
      </c>
      <c r="G105" s="14" t="inlineStr">
        <is>
          <t>1. From = today, To = 30 days ago</t>
        </is>
      </c>
      <c r="H105" s="14" t="inlineStr">
        <is>
          <t>-</t>
        </is>
      </c>
      <c r="I105" s="14" t="inlineStr">
        <is>
          <t>Clear validation error; no sync starts.</t>
        </is>
      </c>
      <c r="J105" s="15" t="inlineStr">
        <is>
          <t>Not Run</t>
        </is>
      </c>
      <c r="K105" s="15" t="n"/>
      <c r="L105" s="15" t="n"/>
      <c r="M105" s="16" t="n"/>
      <c r="N105" s="15" t="n"/>
    </row>
    <row r="106">
      <c r="A106" s="13" t="inlineStr">
        <is>
          <t>SYN-04</t>
        </is>
      </c>
      <c r="B106" s="14" t="inlineStr">
        <is>
          <t>Sync from Kwikship API</t>
        </is>
      </c>
      <c r="C106" s="14" t="inlineStr">
        <is>
          <t>Future dates</t>
        </is>
      </c>
      <c r="D106" s="14" t="inlineStr">
        <is>
          <t>Edge</t>
        </is>
      </c>
      <c r="E106" s="14" t="inlineStr">
        <is>
          <t>Low</t>
        </is>
      </c>
      <c r="F106" s="14" t="inlineStr">
        <is>
          <t>-</t>
        </is>
      </c>
      <c r="G106" s="14" t="inlineStr">
        <is>
          <t>1. Use a future range</t>
        </is>
      </c>
      <c r="H106" s="14" t="inlineStr">
        <is>
          <t>-</t>
        </is>
      </c>
      <c r="I106" s="14" t="inlineStr">
        <is>
          <t>No crash; zero shipments or a clear message.</t>
        </is>
      </c>
      <c r="J106" s="15" t="inlineStr">
        <is>
          <t>Not Run</t>
        </is>
      </c>
      <c r="K106" s="15" t="n"/>
      <c r="L106" s="15" t="n"/>
      <c r="M106" s="16" t="n"/>
      <c r="N106" s="15" t="n"/>
    </row>
    <row r="107">
      <c r="A107" s="13" t="inlineStr">
        <is>
          <t>SYN-05</t>
        </is>
      </c>
      <c r="B107" s="14" t="inlineStr">
        <is>
          <t>Sync from Kwikship API</t>
        </is>
      </c>
      <c r="C107" s="14" t="inlineStr">
        <is>
          <t>Missing / wrong API credentials</t>
        </is>
      </c>
      <c r="D107" s="14" t="inlineStr">
        <is>
          <t>Negative</t>
        </is>
      </c>
      <c r="E107" s="14" t="inlineStr">
        <is>
          <t>High</t>
        </is>
      </c>
      <c r="F107" s="14" t="inlineStr">
        <is>
          <t>Bad KWIKSHIP_APP_ID/SECRET</t>
        </is>
      </c>
      <c r="G107" s="14" t="inlineStr">
        <is>
          <t>1. Run sync</t>
        </is>
      </c>
      <c r="H107" s="14" t="inlineStr">
        <is>
          <t>-</t>
        </is>
      </c>
      <c r="I107" s="14" t="inlineStr">
        <is>
          <t>Error message mentions credentials; a 'failed' row appears in Past syncs.</t>
        </is>
      </c>
      <c r="J107" s="15" t="inlineStr">
        <is>
          <t>Not Run</t>
        </is>
      </c>
      <c r="K107" s="15" t="n"/>
      <c r="L107" s="15" t="n"/>
      <c r="M107" s="16" t="n"/>
      <c r="N107" s="15" t="n"/>
    </row>
    <row r="108">
      <c r="A108" s="13" t="inlineStr">
        <is>
          <t>SYN-06</t>
        </is>
      </c>
      <c r="B108" s="14" t="inlineStr">
        <is>
          <t>Sync from Kwikship API</t>
        </is>
      </c>
      <c r="C108" s="14" t="inlineStr">
        <is>
          <t>API timeout / failure mid-sync</t>
        </is>
      </c>
      <c r="D108" s="14" t="inlineStr">
        <is>
          <t>Negative</t>
        </is>
      </c>
      <c r="E108" s="14" t="inlineStr">
        <is>
          <t>Medium</t>
        </is>
      </c>
      <c r="F108" s="14" t="inlineStr">
        <is>
          <t>-</t>
        </is>
      </c>
      <c r="G108" s="14" t="inlineStr">
        <is>
          <t>1. Break network during sync</t>
        </is>
      </c>
      <c r="H108" s="14" t="inlineStr">
        <is>
          <t>-</t>
        </is>
      </c>
      <c r="I108" s="14" t="inlineStr">
        <is>
          <t>Error toast/message; run marked failed with error text.</t>
        </is>
      </c>
      <c r="J108" s="15" t="inlineStr">
        <is>
          <t>Not Run</t>
        </is>
      </c>
      <c r="K108" s="15" t="n"/>
      <c r="L108" s="15" t="n"/>
      <c r="M108" s="16" t="n"/>
      <c r="N108" s="15" t="n"/>
    </row>
    <row r="109">
      <c r="A109" s="13" t="inlineStr">
        <is>
          <t>SYN-07</t>
        </is>
      </c>
      <c r="B109" s="14" t="inlineStr">
        <is>
          <t>Sync from Kwikship API</t>
        </is>
      </c>
      <c r="C109" s="14" t="inlineStr">
        <is>
          <t>Past syncs table</t>
        </is>
      </c>
      <c r="D109" s="14" t="inlineStr">
        <is>
          <t>Positive</t>
        </is>
      </c>
      <c r="E109" s="14" t="inlineStr">
        <is>
          <t>Low</t>
        </is>
      </c>
      <c r="F109" s="14" t="inlineStr">
        <is>
          <t>-</t>
        </is>
      </c>
      <c r="G109" s="14" t="inlineStr">
        <is>
          <t>1. Review table</t>
        </is>
      </c>
      <c r="H109" s="14" t="inlineStr">
        <is>
          <t>-</t>
        </is>
      </c>
      <c r="I109" s="14" t="inlineStr">
        <is>
          <t>Range, coloured status tag (completed/failed/running), Listed, Detailed, Started, Error.</t>
        </is>
      </c>
      <c r="J109" s="15" t="inlineStr">
        <is>
          <t>Not Run</t>
        </is>
      </c>
      <c r="K109" s="15" t="n"/>
      <c r="L109" s="15" t="n"/>
      <c r="M109" s="16" t="n"/>
      <c r="N109" s="15" t="n"/>
    </row>
    <row r="110">
      <c r="A110" s="13" t="inlineStr">
        <is>
          <t>SYN-08</t>
        </is>
      </c>
      <c r="B110" s="14" t="inlineStr">
        <is>
          <t>Sync from Kwikship API</t>
        </is>
      </c>
      <c r="C110" s="14" t="inlineStr">
        <is>
          <t>Sync button while running</t>
        </is>
      </c>
      <c r="D110" s="14" t="inlineStr">
        <is>
          <t>Edge</t>
        </is>
      </c>
      <c r="E110" s="14" t="inlineStr">
        <is>
          <t>Low</t>
        </is>
      </c>
      <c r="F110" s="14" t="inlineStr">
        <is>
          <t>-</t>
        </is>
      </c>
      <c r="G110" s="14" t="inlineStr">
        <is>
          <t>1. Click Run sync and watch</t>
        </is>
      </c>
      <c r="H110" s="14" t="inlineStr">
        <is>
          <t>-</t>
        </is>
      </c>
      <c r="I110" s="14" t="inlineStr">
        <is>
          <t>Shows loading text and cannot be double-clicked.</t>
        </is>
      </c>
      <c r="J110" s="15" t="inlineStr">
        <is>
          <t>Not Run</t>
        </is>
      </c>
      <c r="K110" s="15" t="n"/>
      <c r="L110" s="15" t="n"/>
      <c r="M110" s="16" t="n"/>
      <c r="N110" s="15" t="n"/>
    </row>
    <row r="111">
      <c r="A111" s="13" t="inlineStr">
        <is>
          <t>SYN-09</t>
        </is>
      </c>
      <c r="B111" s="14" t="inlineStr">
        <is>
          <t>Sync from Kwikship API</t>
        </is>
      </c>
      <c r="C111" s="14" t="inlineStr">
        <is>
          <t>No upload permission</t>
        </is>
      </c>
      <c r="D111" s="14" t="inlineStr">
        <is>
          <t>Security</t>
        </is>
      </c>
      <c r="E111" s="14" t="inlineStr">
        <is>
          <t>High</t>
        </is>
      </c>
      <c r="F111" s="14" t="inlineStr">
        <is>
          <t>View-only user</t>
        </is>
      </c>
      <c r="G111" s="14" t="inlineStr">
        <is>
          <t>1. Open Sync page</t>
        </is>
      </c>
      <c r="H111" s="14" t="inlineStr">
        <is>
          <t>-</t>
        </is>
      </c>
      <c r="I111" s="14" t="inlineStr">
        <is>
          <t>Button shows 'No upload permission' and is disabled.</t>
        </is>
      </c>
      <c r="J111" s="15" t="inlineStr">
        <is>
          <t>Not Run</t>
        </is>
      </c>
      <c r="K111" s="15" t="n"/>
      <c r="L111" s="15" t="n"/>
      <c r="M111" s="16" t="n"/>
      <c r="N111" s="15" t="n"/>
    </row>
    <row r="112">
      <c r="A112" s="13" t="inlineStr">
        <is>
          <t>ZON-01</t>
        </is>
      </c>
      <c r="B112" s="14" t="inlineStr">
        <is>
          <t>Zone reference</t>
        </is>
      </c>
      <c r="C112" s="14" t="inlineStr">
        <is>
          <t>Upload Bangalore zone map</t>
        </is>
      </c>
      <c r="D112" s="14" t="inlineStr">
        <is>
          <t>Positive</t>
        </is>
      </c>
      <c r="E112" s="14" t="inlineStr">
        <is>
          <t>High</t>
        </is>
      </c>
      <c r="F112" s="14" t="inlineStr">
        <is>
          <t>Upload permission</t>
        </is>
      </c>
      <c r="G112" s="14" t="inlineStr">
        <is>
          <t>1. Choose file for Bangalore (560076)
2. Upload / Replace</t>
        </is>
      </c>
      <c r="H112" s="14" t="inlineStr">
        <is>
          <t>560076 zones.xlsx</t>
        </is>
      </c>
      <c r="I112" s="14" t="inlineStr">
        <is>
          <t>Toast 'Uploaded'; card shows pincode count, filename, time.</t>
        </is>
      </c>
      <c r="J112" s="15" t="inlineStr">
        <is>
          <t>Not Run</t>
        </is>
      </c>
      <c r="K112" s="15" t="n"/>
      <c r="L112" s="15" t="n"/>
      <c r="M112" s="16" t="n"/>
      <c r="N112" s="15" t="n"/>
    </row>
    <row r="113">
      <c r="A113" s="13" t="inlineStr">
        <is>
          <t>ZON-02</t>
        </is>
      </c>
      <c r="B113" s="14" t="inlineStr">
        <is>
          <t>Zone reference</t>
        </is>
      </c>
      <c r="C113" s="14" t="inlineStr">
        <is>
          <t>Upload Pinjore zone map</t>
        </is>
      </c>
      <c r="D113" s="14" t="inlineStr">
        <is>
          <t>Positive</t>
        </is>
      </c>
      <c r="E113" s="14" t="inlineStr">
        <is>
          <t>High</t>
        </is>
      </c>
      <c r="F113" s="14" t="inlineStr">
        <is>
          <t>-</t>
        </is>
      </c>
      <c r="G113" s="14" t="inlineStr">
        <is>
          <t>1. Same for Pinjore (134102)</t>
        </is>
      </c>
      <c r="H113" s="14" t="inlineStr">
        <is>
          <t>134102 zones.xlsx</t>
        </is>
      </c>
      <c r="I113" s="14" t="inlineStr">
        <is>
          <t>Card updates independently of Bangalore.</t>
        </is>
      </c>
      <c r="J113" s="15" t="inlineStr">
        <is>
          <t>Not Run</t>
        </is>
      </c>
      <c r="K113" s="15" t="n"/>
      <c r="L113" s="15" t="n"/>
      <c r="M113" s="16" t="n"/>
      <c r="N113" s="15" t="n"/>
    </row>
    <row r="114">
      <c r="A114" s="13" t="inlineStr">
        <is>
          <t>ZON-03</t>
        </is>
      </c>
      <c r="B114" s="14" t="inlineStr">
        <is>
          <t>Zone reference</t>
        </is>
      </c>
      <c r="C114" s="14" t="inlineStr">
        <is>
          <t>Re-upload fully replaces the map</t>
        </is>
      </c>
      <c r="D114" s="14" t="inlineStr">
        <is>
          <t>Data</t>
        </is>
      </c>
      <c r="E114" s="14" t="inlineStr">
        <is>
          <t>High</t>
        </is>
      </c>
      <c r="F114" s="14" t="inlineStr">
        <is>
          <t>Map already loaded</t>
        </is>
      </c>
      <c r="G114" s="14" t="inlineStr">
        <is>
          <t>1. Upload a smaller file</t>
        </is>
      </c>
      <c r="H114" s="14" t="inlineStr">
        <is>
          <t>-</t>
        </is>
      </c>
      <c r="I114" s="14" t="inlineStr">
        <is>
          <t>Old pincodes are gone; count equals the new file.</t>
        </is>
      </c>
      <c r="J114" s="15" t="inlineStr">
        <is>
          <t>Not Run</t>
        </is>
      </c>
      <c r="K114" s="15" t="n"/>
      <c r="L114" s="15" t="n"/>
      <c r="M114" s="16" t="n"/>
      <c r="N114" s="15" t="n"/>
    </row>
    <row r="115">
      <c r="A115" s="13" t="inlineStr">
        <is>
          <t>ZON-04</t>
        </is>
      </c>
      <c r="B115" s="14" t="inlineStr">
        <is>
          <t>Zone reference</t>
        </is>
      </c>
      <c r="C115" s="14" t="inlineStr">
        <is>
          <t>Wrong file format</t>
        </is>
      </c>
      <c r="D115" s="14" t="inlineStr">
        <is>
          <t>Negative</t>
        </is>
      </c>
      <c r="E115" s="14" t="inlineStr">
        <is>
          <t>Medium</t>
        </is>
      </c>
      <c r="F115" s="14" t="inlineStr">
        <is>
          <t>-</t>
        </is>
      </c>
      <c r="G115" s="14" t="inlineStr">
        <is>
          <t>1. Upload a file without pincode/zone columns</t>
        </is>
      </c>
      <c r="H115" s="14" t="inlineStr">
        <is>
          <t>-</t>
        </is>
      </c>
      <c r="I115" s="14" t="inlineStr">
        <is>
          <t>Clear error; existing map is not destroyed.</t>
        </is>
      </c>
      <c r="J115" s="15" t="inlineStr">
        <is>
          <t>Not Run</t>
        </is>
      </c>
      <c r="K115" s="15" t="n"/>
      <c r="L115" s="15" t="n"/>
      <c r="M115" s="16" t="n"/>
      <c r="N115" s="15" t="n"/>
    </row>
    <row r="116">
      <c r="A116" s="13" t="inlineStr">
        <is>
          <t>ZON-05</t>
        </is>
      </c>
      <c r="B116" s="14" t="inlineStr">
        <is>
          <t>Zone reference</t>
        </is>
      </c>
      <c r="C116" s="14" t="inlineStr">
        <is>
          <t>Destination pincode missing from map</t>
        </is>
      </c>
      <c r="D116" s="14" t="inlineStr">
        <is>
          <t>Edge</t>
        </is>
      </c>
      <c r="E116" s="14" t="inlineStr">
        <is>
          <t>High</t>
        </is>
      </c>
      <c r="F116" s="14" t="inlineStr">
        <is>
          <t>-</t>
        </is>
      </c>
      <c r="G116" s="14" t="inlineStr">
        <is>
          <t>1. Reconcile a shipment whose destination pincode is not in the map</t>
        </is>
      </c>
      <c r="H116" s="14" t="inlineStr">
        <is>
          <t>-</t>
        </is>
      </c>
      <c r="I116" s="14" t="inlineStr">
        <is>
          <t>Result = ZONE_NOT_FOUND with a note.</t>
        </is>
      </c>
      <c r="J116" s="15" t="inlineStr">
        <is>
          <t>Not Run</t>
        </is>
      </c>
      <c r="K116" s="15" t="n"/>
      <c r="L116" s="15" t="n"/>
      <c r="M116" s="16" t="n"/>
      <c r="N116" s="15" t="n"/>
    </row>
    <row r="117">
      <c r="A117" s="13" t="inlineStr">
        <is>
          <t>ZON-06</t>
        </is>
      </c>
      <c r="B117" s="14" t="inlineStr">
        <is>
          <t>Zone reference</t>
        </is>
      </c>
      <c r="C117" s="14" t="inlineStr">
        <is>
          <t>Correct hub chosen by pickup pincode</t>
        </is>
      </c>
      <c r="D117" s="14" t="inlineStr">
        <is>
          <t>Positive</t>
        </is>
      </c>
      <c r="E117" s="14" t="inlineStr">
        <is>
          <t>High</t>
        </is>
      </c>
      <c r="F117" s="14" t="inlineStr">
        <is>
          <t>Both maps loaded</t>
        </is>
      </c>
      <c r="G117" s="14" t="inlineStr">
        <is>
          <t>1. Reconcile shipments picked up from 560076 and from 134102</t>
        </is>
      </c>
      <c r="H117" s="14" t="inlineStr">
        <is>
          <t>-</t>
        </is>
      </c>
      <c r="I117" s="14" t="inlineStr">
        <is>
          <t>Zone is looked up in the matching hub's map (hub shown in row details).</t>
        </is>
      </c>
      <c r="J117" s="15" t="inlineStr">
        <is>
          <t>Not Run</t>
        </is>
      </c>
      <c r="K117" s="15" t="n"/>
      <c r="L117" s="15" t="n"/>
      <c r="M117" s="16" t="n"/>
      <c r="N117" s="15" t="n"/>
    </row>
    <row r="118">
      <c r="A118" s="13" t="inlineStr">
        <is>
          <t>ZON-07</t>
        </is>
      </c>
      <c r="B118" s="14" t="inlineStr">
        <is>
          <t>Zone reference</t>
        </is>
      </c>
      <c r="C118" s="14" t="inlineStr">
        <is>
          <t>Pickup pincode from an unknown hub</t>
        </is>
      </c>
      <c r="D118" s="14" t="inlineStr">
        <is>
          <t>Edge</t>
        </is>
      </c>
      <c r="E118" s="14" t="inlineStr">
        <is>
          <t>Medium</t>
        </is>
      </c>
      <c r="F118" s="14" t="inlineStr">
        <is>
          <t>-</t>
        </is>
      </c>
      <c r="G118" s="14" t="inlineStr">
        <is>
          <t>1. Shipment with pickup pincode 110001</t>
        </is>
      </c>
      <c r="H118" s="14" t="inlineStr">
        <is>
          <t>-</t>
        </is>
      </c>
      <c r="I118" s="14" t="inlineStr">
        <is>
          <t>Handled with a clear ZONE_NOT_FOUND note; no crash.</t>
        </is>
      </c>
      <c r="J118" s="15" t="inlineStr">
        <is>
          <t>Not Run</t>
        </is>
      </c>
      <c r="K118" s="15" t="n"/>
      <c r="L118" s="15" t="n"/>
      <c r="M118" s="16" t="n"/>
      <c r="N118" s="15" t="n"/>
    </row>
    <row r="119">
      <c r="A119" s="13" t="inlineStr">
        <is>
          <t>ZON-08</t>
        </is>
      </c>
      <c r="B119" s="14" t="inlineStr">
        <is>
          <t>Zone reference</t>
        </is>
      </c>
      <c r="C119" s="14" t="inlineStr">
        <is>
          <t>No upload permission</t>
        </is>
      </c>
      <c r="D119" s="14" t="inlineStr">
        <is>
          <t>Security</t>
        </is>
      </c>
      <c r="E119" s="14" t="inlineStr">
        <is>
          <t>Medium</t>
        </is>
      </c>
      <c r="F119" s="14" t="inlineStr">
        <is>
          <t>View-only user</t>
        </is>
      </c>
      <c r="G119" s="14" t="inlineStr">
        <is>
          <t>1. Open Zone Reference</t>
        </is>
      </c>
      <c r="H119" s="14" t="inlineStr">
        <is>
          <t>-</t>
        </is>
      </c>
      <c r="I119" s="14" t="inlineStr">
        <is>
          <t>Shows 'No upload permission'.</t>
        </is>
      </c>
      <c r="J119" s="15" t="inlineStr">
        <is>
          <t>Not Run</t>
        </is>
      </c>
      <c r="K119" s="15" t="n"/>
      <c r="L119" s="15" t="n"/>
      <c r="M119" s="16" t="n"/>
      <c r="N119" s="15" t="n"/>
    </row>
    <row r="120">
      <c r="A120" s="13" t="inlineStr">
        <is>
          <t>RAT-01</t>
        </is>
      </c>
      <c r="B120" s="14" t="inlineStr">
        <is>
          <t>Rate card</t>
        </is>
      </c>
      <c r="C120" s="14" t="inlineStr">
        <is>
          <t>Upload Schedule B rate card</t>
        </is>
      </c>
      <c r="D120" s="14" t="inlineStr">
        <is>
          <t>Positive</t>
        </is>
      </c>
      <c r="E120" s="14" t="inlineStr">
        <is>
          <t>High</t>
        </is>
      </c>
      <c r="F120" s="14" t="inlineStr">
        <is>
          <t>Upload permission</t>
        </is>
      </c>
      <c r="G120" s="14" t="inlineStr">
        <is>
          <t>1. Choose the Schedule B file
2. Upload / Replace</t>
        </is>
      </c>
      <c r="H120" s="14" t="inlineStr">
        <is>
          <t>Schedule_B_Commercials_Pricing.xlsx</t>
        </is>
      </c>
      <c r="I120" s="14" t="inlineStr">
        <is>
          <t>Toast 'Uploaded'; table shows the active rows (40 for the standard card).</t>
        </is>
      </c>
      <c r="J120" s="15" t="inlineStr">
        <is>
          <t>Not Run</t>
        </is>
      </c>
      <c r="K120" s="15" t="n"/>
      <c r="L120" s="15" t="n"/>
      <c r="M120" s="16" t="n"/>
      <c r="N120" s="15" t="n"/>
    </row>
    <row r="121">
      <c r="A121" s="13" t="inlineStr">
        <is>
          <t>RAT-02</t>
        </is>
      </c>
      <c r="B121" s="14" t="inlineStr">
        <is>
          <t>Rate card</t>
        </is>
      </c>
      <c r="C121" s="14" t="inlineStr">
        <is>
          <t>New upload deactivates the old card</t>
        </is>
      </c>
      <c r="D121" s="14" t="inlineStr">
        <is>
          <t>Data</t>
        </is>
      </c>
      <c r="E121" s="14" t="inlineStr">
        <is>
          <t>High</t>
        </is>
      </c>
      <c r="F121" s="14" t="inlineStr">
        <is>
          <t>Rate card exists</t>
        </is>
      </c>
      <c r="G121" s="14" t="inlineStr">
        <is>
          <t>1. Upload a card with changed rates
2. Check table and re-run a reconciliation</t>
        </is>
      </c>
      <c r="H121" s="14" t="inlineStr">
        <is>
          <t>-</t>
        </is>
      </c>
      <c r="I121" s="14" t="inlineStr">
        <is>
          <t>Only the new card is active; results use the new rates.</t>
        </is>
      </c>
      <c r="J121" s="15" t="inlineStr">
        <is>
          <t>Not Run</t>
        </is>
      </c>
      <c r="K121" s="15" t="n"/>
      <c r="L121" s="15" t="n"/>
      <c r="M121" s="16" t="n"/>
      <c r="N121" s="15" t="n"/>
    </row>
    <row r="122">
      <c r="A122" s="13" t="inlineStr">
        <is>
          <t>RAT-03</t>
        </is>
      </c>
      <c r="B122" s="14" t="inlineStr">
        <is>
          <t>Rate card</t>
        </is>
      </c>
      <c r="C122" s="14" t="inlineStr">
        <is>
          <t>Table content and paging</t>
        </is>
      </c>
      <c r="D122" s="14" t="inlineStr">
        <is>
          <t>Positive</t>
        </is>
      </c>
      <c r="E122" s="14" t="inlineStr">
        <is>
          <t>Low</t>
        </is>
      </c>
      <c r="F122" s="14" t="inlineStr">
        <is>
          <t>-</t>
        </is>
      </c>
      <c r="G122" s="14" t="inlineStr">
        <is>
          <t>1. Check columns, tags and pagination</t>
        </is>
      </c>
      <c r="H122" s="14" t="inlineStr">
        <is>
          <t>-</t>
        </is>
      </c>
      <c r="I122" s="14" t="inlineStr">
        <is>
          <t>Courier, Mode (coloured tag), Type, Zone, Rate, Slab, COD flat, COD % shown; 25 rows per page.</t>
        </is>
      </c>
      <c r="J122" s="15" t="inlineStr">
        <is>
          <t>Not Run</t>
        </is>
      </c>
      <c r="K122" s="15" t="n"/>
      <c r="L122" s="15" t="n"/>
      <c r="M122" s="16" t="n"/>
      <c r="N122" s="15" t="n"/>
    </row>
    <row r="123">
      <c r="A123" s="13" t="inlineStr">
        <is>
          <t>RAT-04</t>
        </is>
      </c>
      <c r="B123" s="14" t="inlineStr">
        <is>
          <t>Rate card</t>
        </is>
      </c>
      <c r="C123" s="14" t="inlineStr">
        <is>
          <t>Courier group ALL vs BLUEDART</t>
        </is>
      </c>
      <c r="D123" s="14" t="inlineStr">
        <is>
          <t>Regression</t>
        </is>
      </c>
      <c r="E123" s="14" t="inlineStr">
        <is>
          <t>High</t>
        </is>
      </c>
      <c r="F123" s="14" t="inlineStr">
        <is>
          <t>-</t>
        </is>
      </c>
      <c r="G123" s="14" t="inlineStr">
        <is>
          <t>1. Reconcile a Bluedart shipment and a non-Bluedart shipment</t>
        </is>
      </c>
      <c r="H123" s="14" t="inlineStr">
        <is>
          <t>-</t>
        </is>
      </c>
      <c r="I123" s="14" t="inlineStr">
        <is>
          <t>Bluedart uses BLUEDART rates; others use ALL. A group named 'ALL (Except Bluedart)' is NOT treated as Bluedart.</t>
        </is>
      </c>
      <c r="J123" s="15" t="inlineStr">
        <is>
          <t>Not Run</t>
        </is>
      </c>
      <c r="K123" s="15" t="n"/>
      <c r="L123" s="15" t="n"/>
      <c r="M123" s="16" t="n"/>
      <c r="N123" s="15" t="n"/>
    </row>
    <row r="124">
      <c r="A124" s="13" t="inlineStr">
        <is>
          <t>RAT-05</t>
        </is>
      </c>
      <c r="B124" s="14" t="inlineStr">
        <is>
          <t>Rate card</t>
        </is>
      </c>
      <c r="C124" s="14" t="inlineStr">
        <is>
          <t>Wrong file</t>
        </is>
      </c>
      <c r="D124" s="14" t="inlineStr">
        <is>
          <t>Negative</t>
        </is>
      </c>
      <c r="E124" s="14" t="inlineStr">
        <is>
          <t>Medium</t>
        </is>
      </c>
      <c r="F124" s="14" t="inlineStr">
        <is>
          <t>-</t>
        </is>
      </c>
      <c r="G124" s="14" t="inlineStr">
        <is>
          <t>1. Upload a random workbook</t>
        </is>
      </c>
      <c r="H124" s="14" t="inlineStr">
        <is>
          <t>-</t>
        </is>
      </c>
      <c r="I124" s="14" t="inlineStr">
        <is>
          <t>Error message; previous card stays active.</t>
        </is>
      </c>
      <c r="J124" s="15" t="inlineStr">
        <is>
          <t>Not Run</t>
        </is>
      </c>
      <c r="K124" s="15" t="n"/>
      <c r="L124" s="15" t="n"/>
      <c r="M124" s="16" t="n"/>
      <c r="N124" s="15" t="n"/>
    </row>
    <row r="125">
      <c r="A125" s="13" t="inlineStr">
        <is>
          <t>RAT-06</t>
        </is>
      </c>
      <c r="B125" s="14" t="inlineStr">
        <is>
          <t>Rate card</t>
        </is>
      </c>
      <c r="C125" s="14" t="inlineStr">
        <is>
          <t>NDD zone E rate is 0</t>
        </is>
      </c>
      <c r="D125" s="14" t="inlineStr">
        <is>
          <t>Edge</t>
        </is>
      </c>
      <c r="E125" s="14" t="inlineStr">
        <is>
          <t>Medium</t>
        </is>
      </c>
      <c r="F125" s="14" t="inlineStr">
        <is>
          <t>Standard card</t>
        </is>
      </c>
      <c r="G125" s="14" t="inlineStr">
        <is>
          <t>1. Reconcile an NDD shipment to zone E</t>
        </is>
      </c>
      <c r="H125" s="14" t="inlineStr">
        <is>
          <t>-</t>
        </is>
      </c>
      <c r="I125" s="14" t="inlineStr">
        <is>
          <t>Behaviour is as expected (freight 0 or rate-not-found); note which.</t>
        </is>
      </c>
      <c r="J125" s="15" t="inlineStr">
        <is>
          <t>Not Run</t>
        </is>
      </c>
      <c r="K125" s="15" t="n"/>
      <c r="L125" s="15" t="n"/>
      <c r="M125" s="16" t="n"/>
      <c r="N125" s="15" t="n"/>
    </row>
    <row r="126">
      <c r="A126" s="13" t="inlineStr">
        <is>
          <t>CAL-01</t>
        </is>
      </c>
      <c r="B126" s="14" t="inlineStr">
        <is>
          <t>Reconciliation engine (calculations)</t>
        </is>
      </c>
      <c r="C126" s="14" t="inlineStr">
        <is>
          <t>Slab rounding - exact multiple</t>
        </is>
      </c>
      <c r="D126" s="14" t="inlineStr">
        <is>
          <t>Positive</t>
        </is>
      </c>
      <c r="E126" s="14" t="inlineStr">
        <is>
          <t>High</t>
        </is>
      </c>
      <c r="F126" s="14" t="inlineStr">
        <is>
          <t>Data loaded</t>
        </is>
      </c>
      <c r="G126" s="14" t="inlineStr">
        <is>
          <t>1. Shipment with 1.0 kg</t>
        </is>
      </c>
      <c r="H126" s="14" t="inlineStr">
        <is>
          <t>1.0 kg</t>
        </is>
      </c>
      <c r="I126" s="14" t="inlineStr">
        <is>
          <t>2 slabs of 0.5 kg. (See Calc Test Data sheet.)</t>
        </is>
      </c>
      <c r="J126" s="15" t="inlineStr">
        <is>
          <t>Not Run</t>
        </is>
      </c>
      <c r="K126" s="15" t="n"/>
      <c r="L126" s="15" t="n"/>
      <c r="M126" s="16" t="n"/>
      <c r="N126" s="15" t="n"/>
    </row>
    <row r="127">
      <c r="A127" s="13" t="inlineStr">
        <is>
          <t>CAL-02</t>
        </is>
      </c>
      <c r="B127" s="14" t="inlineStr">
        <is>
          <t>Reconciliation engine (calculations)</t>
        </is>
      </c>
      <c r="C127" s="14" t="inlineStr">
        <is>
          <t>Slab rounding - just over a slab</t>
        </is>
      </c>
      <c r="D127" s="14" t="inlineStr">
        <is>
          <t>Edge</t>
        </is>
      </c>
      <c r="E127" s="14" t="inlineStr">
        <is>
          <t>High</t>
        </is>
      </c>
      <c r="F127" s="14" t="inlineStr">
        <is>
          <t>-</t>
        </is>
      </c>
      <c r="G127" s="14" t="inlineStr">
        <is>
          <t>1. Shipment with 0.51 kg and 1.01 kg</t>
        </is>
      </c>
      <c r="H127" s="14" t="inlineStr">
        <is>
          <t>0.51 / 1.01</t>
        </is>
      </c>
      <c r="I127" s="14" t="inlineStr">
        <is>
          <t>2 slabs and 3 slabs.</t>
        </is>
      </c>
      <c r="J127" s="15" t="inlineStr">
        <is>
          <t>Not Run</t>
        </is>
      </c>
      <c r="K127" s="15" t="n"/>
      <c r="L127" s="15" t="n"/>
      <c r="M127" s="16" t="n"/>
      <c r="N127" s="15" t="n"/>
    </row>
    <row r="128">
      <c r="A128" s="13" t="inlineStr">
        <is>
          <t>CAL-03</t>
        </is>
      </c>
      <c r="B128" s="14" t="inlineStr">
        <is>
          <t>Reconciliation engine (calculations)</t>
        </is>
      </c>
      <c r="C128" s="14" t="inlineStr">
        <is>
          <t>Slab rounding - under one slab</t>
        </is>
      </c>
      <c r="D128" s="14" t="inlineStr">
        <is>
          <t>Edge</t>
        </is>
      </c>
      <c r="E128" s="14" t="inlineStr">
        <is>
          <t>High</t>
        </is>
      </c>
      <c r="F128" s="14" t="inlineStr">
        <is>
          <t>-</t>
        </is>
      </c>
      <c r="G128" s="14" t="inlineStr">
        <is>
          <t>1. Shipment with 0.1 kg (100 g)</t>
        </is>
      </c>
      <c r="H128" s="14" t="inlineStr">
        <is>
          <t>0.1</t>
        </is>
      </c>
      <c r="I128" s="14" t="inlineStr">
        <is>
          <t>1 slab.</t>
        </is>
      </c>
      <c r="J128" s="15" t="inlineStr">
        <is>
          <t>Not Run</t>
        </is>
      </c>
      <c r="K128" s="15" t="n"/>
      <c r="L128" s="15" t="n"/>
      <c r="M128" s="16" t="n"/>
      <c r="N128" s="15" t="n"/>
    </row>
    <row r="129">
      <c r="A129" s="13" t="inlineStr">
        <is>
          <t>CAL-04</t>
        </is>
      </c>
      <c r="B129" s="14" t="inlineStr">
        <is>
          <t>Reconciliation engine (calculations)</t>
        </is>
      </c>
      <c r="C129" s="14" t="inlineStr">
        <is>
          <t>Forward freight = slabs x rate</t>
        </is>
      </c>
      <c r="D129" s="14" t="inlineStr">
        <is>
          <t>Positive</t>
        </is>
      </c>
      <c r="E129" s="14" t="inlineStr">
        <is>
          <t>High</t>
        </is>
      </c>
      <c r="F129" s="14" t="inlineStr">
        <is>
          <t>-</t>
        </is>
      </c>
      <c r="G129" s="14" t="inlineStr">
        <is>
          <t>1. Compare app forward freight to Calc Test Data</t>
        </is>
      </c>
      <c r="H129" s="14" t="inlineStr">
        <is>
          <t>-</t>
        </is>
      </c>
      <c r="I129" s="14" t="inlineStr">
        <is>
          <t>Matches for every mode/zone tested.</t>
        </is>
      </c>
      <c r="J129" s="15" t="inlineStr">
        <is>
          <t>Not Run</t>
        </is>
      </c>
      <c r="K129" s="15" t="n"/>
      <c r="L129" s="15" t="n"/>
      <c r="M129" s="16" t="n"/>
      <c r="N129" s="15" t="n"/>
    </row>
    <row r="130">
      <c r="A130" s="13" t="inlineStr">
        <is>
          <t>CAL-05</t>
        </is>
      </c>
      <c r="B130" s="14" t="inlineStr">
        <is>
          <t>Reconciliation engine (calculations)</t>
        </is>
      </c>
      <c r="C130" s="14" t="inlineStr">
        <is>
          <t>RTO shipment adds RTO freight</t>
        </is>
      </c>
      <c r="D130" s="14" t="inlineStr">
        <is>
          <t>Positive</t>
        </is>
      </c>
      <c r="E130" s="14" t="inlineStr">
        <is>
          <t>High</t>
        </is>
      </c>
      <c r="F130" s="14" t="inlineStr">
        <is>
          <t>-</t>
        </is>
      </c>
      <c r="G130" s="14" t="inlineStr">
        <is>
          <t>1. Reconcile an RTO-delivered shipment</t>
        </is>
      </c>
      <c r="H130" s="14" t="inlineStr">
        <is>
          <t>-</t>
        </is>
      </c>
      <c r="I130" s="14" t="inlineStr">
        <is>
          <t>Total = forward + RTO freight (both x slabs), plus GST.</t>
        </is>
      </c>
      <c r="J130" s="15" t="inlineStr">
        <is>
          <t>Not Run</t>
        </is>
      </c>
      <c r="K130" s="15" t="n"/>
      <c r="L130" s="15" t="n"/>
      <c r="M130" s="16" t="n"/>
      <c r="N130" s="15" t="n"/>
    </row>
    <row r="131">
      <c r="A131" s="13" t="inlineStr">
        <is>
          <t>CAL-06</t>
        </is>
      </c>
      <c r="B131" s="14" t="inlineStr">
        <is>
          <t>Reconciliation engine (calculations)</t>
        </is>
      </c>
      <c r="C131" s="14" t="inlineStr">
        <is>
          <t>COD charge = MAX(flat, % of amount)</t>
        </is>
      </c>
      <c r="D131" s="14" t="inlineStr">
        <is>
          <t>Positive</t>
        </is>
      </c>
      <c r="E131" s="14" t="inlineStr">
        <is>
          <t>High</t>
        </is>
      </c>
      <c r="F131" s="14" t="inlineStr">
        <is>
          <t>-</t>
        </is>
      </c>
      <c r="G131" s="14" t="inlineStr">
        <is>
          <t>1. COD delivered with amount 500, then 2000</t>
        </is>
      </c>
      <c r="H131" s="14" t="inlineStr">
        <is>
          <t>500 / 2000</t>
        </is>
      </c>
      <c r="I131" s="14" t="inlineStr">
        <is>
          <t>COD = 15 for 500 and 22 for 2000 on Surface (1.1%).</t>
        </is>
      </c>
      <c r="J131" s="15" t="inlineStr">
        <is>
          <t>Not Run</t>
        </is>
      </c>
      <c r="K131" s="15" t="n"/>
      <c r="L131" s="15" t="n"/>
      <c r="M131" s="16" t="n"/>
      <c r="N131" s="15" t="n"/>
    </row>
    <row r="132">
      <c r="A132" s="13" t="inlineStr">
        <is>
          <t>CAL-07</t>
        </is>
      </c>
      <c r="B132" s="14" t="inlineStr">
        <is>
          <t>Reconciliation engine (calculations)</t>
        </is>
      </c>
      <c r="C132" s="14" t="inlineStr">
        <is>
          <t>No COD charge on RTO</t>
        </is>
      </c>
      <c r="D132" s="14" t="inlineStr">
        <is>
          <t>Positive</t>
        </is>
      </c>
      <c r="E132" s="14" t="inlineStr">
        <is>
          <t>High</t>
        </is>
      </c>
      <c r="F132" s="14" t="inlineStr">
        <is>
          <t>-</t>
        </is>
      </c>
      <c r="G132" s="14" t="inlineStr">
        <is>
          <t>1. COD shipment that ended in RTO</t>
        </is>
      </c>
      <c r="H132" s="14" t="inlineStr">
        <is>
          <t>-</t>
        </is>
      </c>
      <c r="I132" s="14" t="inlineStr">
        <is>
          <t>COD charge = 0.</t>
        </is>
      </c>
      <c r="J132" s="15" t="inlineStr">
        <is>
          <t>Not Run</t>
        </is>
      </c>
      <c r="K132" s="15" t="n"/>
      <c r="L132" s="15" t="n"/>
      <c r="M132" s="16" t="n"/>
      <c r="N132" s="15" t="n"/>
    </row>
    <row r="133">
      <c r="A133" s="13" t="inlineStr">
        <is>
          <t>CAL-08</t>
        </is>
      </c>
      <c r="B133" s="14" t="inlineStr">
        <is>
          <t>Reconciliation engine (calculations)</t>
        </is>
      </c>
      <c r="C133" s="14" t="inlineStr">
        <is>
          <t>No COD charge on prepaid</t>
        </is>
      </c>
      <c r="D133" s="14" t="inlineStr">
        <is>
          <t>Positive</t>
        </is>
      </c>
      <c r="E133" s="14" t="inlineStr">
        <is>
          <t>Medium</t>
        </is>
      </c>
      <c r="F133" s="14" t="inlineStr">
        <is>
          <t>-</t>
        </is>
      </c>
      <c r="G133" s="14" t="inlineStr">
        <is>
          <t>1. Prepaid delivered shipment</t>
        </is>
      </c>
      <c r="H133" s="14" t="inlineStr">
        <is>
          <t>-</t>
        </is>
      </c>
      <c r="I133" s="14" t="inlineStr">
        <is>
          <t>COD charge = 0.</t>
        </is>
      </c>
      <c r="J133" s="15" t="inlineStr">
        <is>
          <t>Not Run</t>
        </is>
      </c>
      <c r="K133" s="15" t="n"/>
      <c r="L133" s="15" t="n"/>
      <c r="M133" s="16" t="n"/>
      <c r="N133" s="15" t="n"/>
    </row>
    <row r="134">
      <c r="A134" s="13" t="inlineStr">
        <is>
          <t>CAL-09</t>
        </is>
      </c>
      <c r="B134" s="14" t="inlineStr">
        <is>
          <t>Reconciliation engine (calculations)</t>
        </is>
      </c>
      <c r="C134" s="14" t="inlineStr">
        <is>
          <t>GST 18% applied on gross</t>
        </is>
      </c>
      <c r="D134" s="14" t="inlineStr">
        <is>
          <t>Positive</t>
        </is>
      </c>
      <c r="E134" s="14" t="inlineStr">
        <is>
          <t>High</t>
        </is>
      </c>
      <c r="F134" s="14" t="inlineStr">
        <is>
          <t>-</t>
        </is>
      </c>
      <c r="G134" s="14" t="inlineStr">
        <is>
          <t>1. Check total vs gross</t>
        </is>
      </c>
      <c r="H134" s="14" t="inlineStr">
        <is>
          <t>-</t>
        </is>
      </c>
      <c r="I134" s="14" t="inlineStr">
        <is>
          <t>Total = Gross x 1.18 (rounded to 2 decimals).</t>
        </is>
      </c>
      <c r="J134" s="15" t="inlineStr">
        <is>
          <t>Not Run</t>
        </is>
      </c>
      <c r="K134" s="15" t="n"/>
      <c r="L134" s="15" t="n"/>
      <c r="M134" s="16" t="n"/>
      <c r="N134" s="15" t="n"/>
    </row>
    <row r="135">
      <c r="A135" s="13" t="inlineStr">
        <is>
          <t>CAL-10</t>
        </is>
      </c>
      <c r="B135" s="14" t="inlineStr">
        <is>
          <t>Reconciliation engine (calculations)</t>
        </is>
      </c>
      <c r="C135" s="14" t="inlineStr">
        <is>
          <t>Air / NDD / Surface rate sets</t>
        </is>
      </c>
      <c r="D135" s="14" t="inlineStr">
        <is>
          <t>Positive</t>
        </is>
      </c>
      <c r="E135" s="14" t="inlineStr">
        <is>
          <t>High</t>
        </is>
      </c>
      <c r="F135" s="14" t="inlineStr">
        <is>
          <t>-</t>
        </is>
      </c>
      <c r="G135" s="14" t="inlineStr">
        <is>
          <t>1. Reconcile one shipment in each mode</t>
        </is>
      </c>
      <c r="H135" s="14" t="inlineStr">
        <is>
          <t>-</t>
        </is>
      </c>
      <c r="I135" s="14" t="inlineStr">
        <is>
          <t>Each uses the right rate rows and COD settings.</t>
        </is>
      </c>
      <c r="J135" s="15" t="inlineStr">
        <is>
          <t>Not Run</t>
        </is>
      </c>
      <c r="K135" s="15" t="n"/>
      <c r="L135" s="15" t="n"/>
      <c r="M135" s="16" t="n"/>
      <c r="N135" s="15" t="n"/>
    </row>
    <row r="136">
      <c r="A136" s="13" t="inlineStr">
        <is>
          <t>CAL-11</t>
        </is>
      </c>
      <c r="B136" s="14" t="inlineStr">
        <is>
          <t>Reconciliation engine (calculations)</t>
        </is>
      </c>
      <c r="C136" s="14" t="inlineStr">
        <is>
          <t>Zone is calculated from pincodes, not trusted from MIS</t>
        </is>
      </c>
      <c r="D136" s="14" t="inlineStr">
        <is>
          <t>Regression</t>
        </is>
      </c>
      <c r="E136" s="14" t="inlineStr">
        <is>
          <t>High</t>
        </is>
      </c>
      <c r="F136" s="14" t="inlineStr">
        <is>
          <t>-</t>
        </is>
      </c>
      <c r="G136" s="14" t="inlineStr">
        <is>
          <t>1. Find a row where MIS zone differs from calculated</t>
        </is>
      </c>
      <c r="H136" s="14" t="inlineStr">
        <is>
          <t>-</t>
        </is>
      </c>
      <c r="I136" s="14" t="inlineStr">
        <is>
          <t>Calculated zone used for freight; ZONE_MISMATCH flagged; cell shown in red.</t>
        </is>
      </c>
      <c r="J136" s="15" t="inlineStr">
        <is>
          <t>Not Run</t>
        </is>
      </c>
      <c r="K136" s="15" t="n"/>
      <c r="L136" s="15" t="n"/>
      <c r="M136" s="16" t="n"/>
      <c r="N136" s="15" t="n"/>
    </row>
    <row r="137">
      <c r="A137" s="13" t="inlineStr">
        <is>
          <t>CAL-12</t>
        </is>
      </c>
      <c r="B137" s="14" t="inlineStr">
        <is>
          <t>Reconciliation engine (calculations)</t>
        </is>
      </c>
      <c r="C137" s="14" t="inlineStr">
        <is>
          <t>Weight compared by slab, not raw kg</t>
        </is>
      </c>
      <c r="D137" s="14" t="inlineStr">
        <is>
          <t>Regression</t>
        </is>
      </c>
      <c r="E137" s="14" t="inlineStr">
        <is>
          <t>High</t>
        </is>
      </c>
      <c r="F137" s="14" t="inlineStr">
        <is>
          <t>-</t>
        </is>
      </c>
      <c r="G137" s="14" t="inlineStr">
        <is>
          <t>1. MIS 0.5 vs API 0.1 (same slab)</t>
        </is>
      </c>
      <c r="H137" s="14" t="inlineStr">
        <is>
          <t>0.5 / 0.1</t>
        </is>
      </c>
      <c r="I137" s="14" t="inlineStr">
        <is>
          <t>NOT flagged as weight mismatch.</t>
        </is>
      </c>
      <c r="J137" s="15" t="inlineStr">
        <is>
          <t>Not Run</t>
        </is>
      </c>
      <c r="K137" s="15" t="n"/>
      <c r="L137" s="15" t="n"/>
      <c r="M137" s="16" t="n"/>
      <c r="N137" s="15" t="n"/>
    </row>
    <row r="138">
      <c r="A138" s="13" t="inlineStr">
        <is>
          <t>CAL-13</t>
        </is>
      </c>
      <c r="B138" s="14" t="inlineStr">
        <is>
          <t>Reconciliation engine (calculations)</t>
        </is>
      </c>
      <c r="C138" s="14" t="inlineStr">
        <is>
          <t>Weight mismatch when slabs differ</t>
        </is>
      </c>
      <c r="D138" s="14" t="inlineStr">
        <is>
          <t>Positive</t>
        </is>
      </c>
      <c r="E138" s="14" t="inlineStr">
        <is>
          <t>High</t>
        </is>
      </c>
      <c r="F138" s="14" t="inlineStr">
        <is>
          <t>-</t>
        </is>
      </c>
      <c r="G138" s="14" t="inlineStr">
        <is>
          <t>1. MIS 0.5 vs API 0.6</t>
        </is>
      </c>
      <c r="H138" s="14" t="inlineStr">
        <is>
          <t>0.5 / 0.6</t>
        </is>
      </c>
      <c r="I138" s="14" t="inlineStr">
        <is>
          <t>WEIGHT_MISMATCH shown.</t>
        </is>
      </c>
      <c r="J138" s="15" t="inlineStr">
        <is>
          <t>Not Run</t>
        </is>
      </c>
      <c r="K138" s="15" t="n"/>
      <c r="L138" s="15" t="n"/>
      <c r="M138" s="16" t="n"/>
      <c r="N138" s="15" t="n"/>
    </row>
    <row r="139">
      <c r="A139" s="13" t="inlineStr">
        <is>
          <t>CAL-14</t>
        </is>
      </c>
      <c r="B139" s="14" t="inlineStr">
        <is>
          <t>Reconciliation engine (calculations)</t>
        </is>
      </c>
      <c r="C139" s="14" t="inlineStr">
        <is>
          <t>Payment mismatch</t>
        </is>
      </c>
      <c r="D139" s="14" t="inlineStr">
        <is>
          <t>Positive</t>
        </is>
      </c>
      <c r="E139" s="14" t="inlineStr">
        <is>
          <t>High</t>
        </is>
      </c>
      <c r="F139" s="14" t="inlineStr">
        <is>
          <t>-</t>
        </is>
      </c>
      <c r="G139" s="14" t="inlineStr">
        <is>
          <t>1. MIS COD vs API PREPAID</t>
        </is>
      </c>
      <c r="H139" s="14" t="inlineStr">
        <is>
          <t>-</t>
        </is>
      </c>
      <c r="I139" s="14" t="inlineStr">
        <is>
          <t>PAYMENT_MISMATCH shown.</t>
        </is>
      </c>
      <c r="J139" s="15" t="inlineStr">
        <is>
          <t>Not Run</t>
        </is>
      </c>
      <c r="K139" s="15" t="n"/>
      <c r="L139" s="15" t="n"/>
      <c r="M139" s="16" t="n"/>
      <c r="N139" s="15" t="n"/>
    </row>
    <row r="140">
      <c r="A140" s="13" t="inlineStr">
        <is>
          <t>CAL-15</t>
        </is>
      </c>
      <c r="B140" s="14" t="inlineStr">
        <is>
          <t>Reconciliation engine (calculations)</t>
        </is>
      </c>
      <c r="C140" s="14" t="inlineStr">
        <is>
          <t>Status match: Delivered</t>
        </is>
      </c>
      <c r="D140" s="14" t="inlineStr">
        <is>
          <t>Positive</t>
        </is>
      </c>
      <c r="E140" s="14" t="inlineStr">
        <is>
          <t>High</t>
        </is>
      </c>
      <c r="F140" s="14" t="inlineStr">
        <is>
          <t>-</t>
        </is>
      </c>
      <c r="G140" s="14" t="inlineStr">
        <is>
          <t>1. MIS 'Delivered' with API 'delivered'</t>
        </is>
      </c>
      <c r="H140" s="14" t="inlineStr">
        <is>
          <t>-</t>
        </is>
      </c>
      <c r="I140" s="14" t="inlineStr">
        <is>
          <t>No status mismatch. (See Status Rules sheet for every combination.)</t>
        </is>
      </c>
      <c r="J140" s="15" t="inlineStr">
        <is>
          <t>Not Run</t>
        </is>
      </c>
      <c r="K140" s="15" t="n"/>
      <c r="L140" s="15" t="n"/>
      <c r="M140" s="16" t="n"/>
      <c r="N140" s="15" t="n"/>
    </row>
    <row r="141">
      <c r="A141" s="13" t="inlineStr">
        <is>
          <t>CAL-16</t>
        </is>
      </c>
      <c r="B141" s="14" t="inlineStr">
        <is>
          <t>Reconciliation engine (calculations)</t>
        </is>
      </c>
      <c r="C141" s="14" t="inlineStr">
        <is>
          <t>Status match: RTO</t>
        </is>
      </c>
      <c r="D141" s="14" t="inlineStr">
        <is>
          <t>Positive</t>
        </is>
      </c>
      <c r="E141" s="14" t="inlineStr">
        <is>
          <t>High</t>
        </is>
      </c>
      <c r="F141" s="14" t="inlineStr">
        <is>
          <t>-</t>
        </is>
      </c>
      <c r="G141" s="14" t="inlineStr">
        <is>
          <t>1. MIS 'RTO' with API rto_delivered and return_delivered</t>
        </is>
      </c>
      <c r="H141" s="14" t="inlineStr">
        <is>
          <t>-</t>
        </is>
      </c>
      <c r="I141" s="14" t="inlineStr">
        <is>
          <t>No status mismatch for either.</t>
        </is>
      </c>
      <c r="J141" s="15" t="inlineStr">
        <is>
          <t>Not Run</t>
        </is>
      </c>
      <c r="K141" s="15" t="n"/>
      <c r="L141" s="15" t="n"/>
      <c r="M141" s="16" t="n"/>
      <c r="N141" s="15" t="n"/>
    </row>
    <row r="142">
      <c r="A142" s="13" t="inlineStr">
        <is>
          <t>CAL-17</t>
        </is>
      </c>
      <c r="B142" s="14" t="inlineStr">
        <is>
          <t>Reconciliation engine (calculations)</t>
        </is>
      </c>
      <c r="C142" s="14" t="inlineStr">
        <is>
          <t>Status mismatch</t>
        </is>
      </c>
      <c r="D142" s="14" t="inlineStr">
        <is>
          <t>Positive</t>
        </is>
      </c>
      <c r="E142" s="14" t="inlineStr">
        <is>
          <t>High</t>
        </is>
      </c>
      <c r="F142" s="14" t="inlineStr">
        <is>
          <t>-</t>
        </is>
      </c>
      <c r="G142" s="14" t="inlineStr">
        <is>
          <t>1. MIS 'Delivered' with API 'in_transit'</t>
        </is>
      </c>
      <c r="H142" s="14" t="inlineStr">
        <is>
          <t>-</t>
        </is>
      </c>
      <c r="I142" s="14" t="inlineStr">
        <is>
          <t>STATUS_MISMATCH shown.</t>
        </is>
      </c>
      <c r="J142" s="15" t="inlineStr">
        <is>
          <t>Not Run</t>
        </is>
      </c>
      <c r="K142" s="15" t="n"/>
      <c r="L142" s="15" t="n"/>
      <c r="M142" s="16" t="n"/>
      <c r="N142" s="15" t="n"/>
    </row>
    <row r="143">
      <c r="A143" s="13" t="inlineStr">
        <is>
          <t>CAL-18</t>
        </is>
      </c>
      <c r="B143" s="14" t="inlineStr">
        <is>
          <t>Reconciliation engine (calculations)</t>
        </is>
      </c>
      <c r="C143" s="14" t="inlineStr">
        <is>
          <t>Lost shipment skips freight</t>
        </is>
      </c>
      <c r="D143" s="14" t="inlineStr">
        <is>
          <t>Positive</t>
        </is>
      </c>
      <c r="E143" s="14" t="inlineStr">
        <is>
          <t>High</t>
        </is>
      </c>
      <c r="F143" s="14" t="inlineStr">
        <is>
          <t>-</t>
        </is>
      </c>
      <c r="G143" s="14" t="inlineStr">
        <is>
          <t>1. API status 'lost'</t>
        </is>
      </c>
      <c r="H143" s="14" t="inlineStr">
        <is>
          <t>-</t>
        </is>
      </c>
      <c r="I143" s="14" t="inlineStr">
        <is>
          <t>Result LOST, freight calc = N/A, claim amount = MIS order value.</t>
        </is>
      </c>
      <c r="J143" s="15" t="inlineStr">
        <is>
          <t>Not Run</t>
        </is>
      </c>
      <c r="K143" s="15" t="n"/>
      <c r="L143" s="15" t="n"/>
      <c r="M143" s="16" t="n"/>
      <c r="N143" s="15" t="n"/>
    </row>
    <row r="144">
      <c r="A144" s="13" t="inlineStr">
        <is>
          <t>CAL-19</t>
        </is>
      </c>
      <c r="B144" s="14" t="inlineStr">
        <is>
          <t>Reconciliation engine (calculations)</t>
        </is>
      </c>
      <c r="C144" s="14" t="inlineStr">
        <is>
          <t>Stuck RTO statuses are LOST</t>
        </is>
      </c>
      <c r="D144" s="14" t="inlineStr">
        <is>
          <t>Positive</t>
        </is>
      </c>
      <c r="E144" s="14" t="inlineStr">
        <is>
          <t>High</t>
        </is>
      </c>
      <c r="F144" s="14" t="inlineStr">
        <is>
          <t>-</t>
        </is>
      </c>
      <c r="G144" s="14" t="inlineStr">
        <is>
          <t>1. API status rto_initiated / rto_in_transit / rto_ndr / rto_cancelled</t>
        </is>
      </c>
      <c r="H144" s="14" t="inlineStr">
        <is>
          <t>-</t>
        </is>
      </c>
      <c r="I144" s="14" t="inlineStr">
        <is>
          <t>All become LOST with a claim amount.</t>
        </is>
      </c>
      <c r="J144" s="15" t="inlineStr">
        <is>
          <t>Not Run</t>
        </is>
      </c>
      <c r="K144" s="15" t="n"/>
      <c r="L144" s="15" t="n"/>
      <c r="M144" s="16" t="n"/>
      <c r="N144" s="15" t="n"/>
    </row>
    <row r="145">
      <c r="A145" s="13" t="inlineStr">
        <is>
          <t>CAL-20</t>
        </is>
      </c>
      <c r="B145" s="14" t="inlineStr">
        <is>
          <t>Reconciliation engine (calculations)</t>
        </is>
      </c>
      <c r="C145" s="14" t="inlineStr">
        <is>
          <t>rto_delivered is NOT lost</t>
        </is>
      </c>
      <c r="D145" s="14" t="inlineStr">
        <is>
          <t>Regression</t>
        </is>
      </c>
      <c r="E145" s="14" t="inlineStr">
        <is>
          <t>High</t>
        </is>
      </c>
      <c r="F145" s="14" t="inlineStr">
        <is>
          <t>-</t>
        </is>
      </c>
      <c r="G145" s="14" t="inlineStr">
        <is>
          <t>1. API status rto_delivered</t>
        </is>
      </c>
      <c r="H145" s="14" t="inlineStr">
        <is>
          <t>-</t>
        </is>
      </c>
      <c r="I145" s="14" t="inlineStr">
        <is>
          <t>Normal freight calculation; not LOST.</t>
        </is>
      </c>
      <c r="J145" s="15" t="inlineStr">
        <is>
          <t>Not Run</t>
        </is>
      </c>
      <c r="K145" s="15" t="n"/>
      <c r="L145" s="15" t="n"/>
      <c r="M145" s="16" t="n"/>
      <c r="N145" s="15" t="n"/>
    </row>
    <row r="146">
      <c r="A146" s="13" t="inlineStr">
        <is>
          <t>CAL-21</t>
        </is>
      </c>
      <c r="B146" s="14" t="inlineStr">
        <is>
          <t>Reconciliation engine (calculations)</t>
        </is>
      </c>
      <c r="C146" s="14" t="inlineStr">
        <is>
          <t>AWB not in shipments</t>
        </is>
      </c>
      <c r="D146" s="14" t="inlineStr">
        <is>
          <t>Positive</t>
        </is>
      </c>
      <c r="E146" s="14" t="inlineStr">
        <is>
          <t>High</t>
        </is>
      </c>
      <c r="F146" s="14" t="inlineStr">
        <is>
          <t>-</t>
        </is>
      </c>
      <c r="G146" s="14" t="inlineStr">
        <is>
          <t>1. MIS AWB that has no shipment record</t>
        </is>
      </c>
      <c r="H146" s="14" t="inlineStr">
        <is>
          <t>-</t>
        </is>
      </c>
      <c r="I146" s="14" t="inlineStr">
        <is>
          <t>NO_API_DATA with note to sync/upload.</t>
        </is>
      </c>
      <c r="J146" s="15" t="inlineStr">
        <is>
          <t>Not Run</t>
        </is>
      </c>
      <c r="K146" s="15" t="n"/>
      <c r="L146" s="15" t="n"/>
      <c r="M146" s="16" t="n"/>
      <c r="N146" s="15" t="n"/>
    </row>
    <row r="147">
      <c r="A147" s="13" t="inlineStr">
        <is>
          <t>CAL-22</t>
        </is>
      </c>
      <c r="B147" s="14" t="inlineStr">
        <is>
          <t>Reconciliation engine (calculations)</t>
        </is>
      </c>
      <c r="C147" s="14" t="inlineStr">
        <is>
          <t>Missing rate row</t>
        </is>
      </c>
      <c r="D147" s="14" t="inlineStr">
        <is>
          <t>Negative</t>
        </is>
      </c>
      <c r="E147" s="14" t="inlineStr">
        <is>
          <t>Medium</t>
        </is>
      </c>
      <c r="F147" s="14" t="inlineStr">
        <is>
          <t>-</t>
        </is>
      </c>
      <c r="G147" s="14" t="inlineStr">
        <is>
          <t>1. Mode/zone with no rate</t>
        </is>
      </c>
      <c r="H147" s="14" t="inlineStr">
        <is>
          <t>-</t>
        </is>
      </c>
      <c r="I147" s="14" t="inlineStr">
        <is>
          <t>RATE_NOT_FOUND with note.</t>
        </is>
      </c>
      <c r="J147" s="15" t="inlineStr">
        <is>
          <t>Not Run</t>
        </is>
      </c>
      <c r="K147" s="15" t="n"/>
      <c r="L147" s="15" t="n"/>
      <c r="M147" s="16" t="n"/>
      <c r="N147" s="15" t="n"/>
    </row>
    <row r="148">
      <c r="A148" s="13" t="inlineStr">
        <is>
          <t>CAL-23</t>
        </is>
      </c>
      <c r="B148" s="14" t="inlineStr">
        <is>
          <t>Reconciliation engine (calculations)</t>
        </is>
      </c>
      <c r="C148" s="14" t="inlineStr">
        <is>
          <t>Status priority order</t>
        </is>
      </c>
      <c r="D148" s="14" t="inlineStr">
        <is>
          <t>Positive</t>
        </is>
      </c>
      <c r="E148" s="14" t="inlineStr">
        <is>
          <t>High</t>
        </is>
      </c>
      <c r="F148" s="14" t="inlineStr">
        <is>
          <t>-</t>
        </is>
      </c>
      <c r="G148" s="14" t="inlineStr">
        <is>
          <t>1. Row that has several problems at once</t>
        </is>
      </c>
      <c r="H148" s="14" t="inlineStr">
        <is>
          <t>-</t>
        </is>
      </c>
      <c r="I148" s="14" t="inlineStr">
        <is>
          <t>Shown status follows: LOST, PAYMENT, STATUS, ZONE, WEIGHT, FREIGHT, then MATCHED.</t>
        </is>
      </c>
      <c r="J148" s="15" t="inlineStr">
        <is>
          <t>Not Run</t>
        </is>
      </c>
      <c r="K148" s="15" t="n"/>
      <c r="L148" s="15" t="n"/>
      <c r="M148" s="16" t="n"/>
      <c r="N148" s="15" t="n"/>
    </row>
    <row r="149">
      <c r="A149" s="13" t="inlineStr">
        <is>
          <t>CAL-24</t>
        </is>
      </c>
      <c r="B149" s="14" t="inlineStr">
        <is>
          <t>Reconciliation engine (calculations)</t>
        </is>
      </c>
      <c r="C149" s="14" t="inlineStr">
        <is>
          <t>Freight tolerance of Rs 1</t>
        </is>
      </c>
      <c r="D149" s="14" t="inlineStr">
        <is>
          <t>Edge</t>
        </is>
      </c>
      <c r="E149" s="14" t="inlineStr">
        <is>
          <t>High</t>
        </is>
      </c>
      <c r="F149" s="14" t="inlineStr">
        <is>
          <t>-</t>
        </is>
      </c>
      <c r="G149" s="14" t="inlineStr">
        <is>
          <t>1. Delta of 0.99 and of 1.01</t>
        </is>
      </c>
      <c r="H149" s="14" t="inlineStr">
        <is>
          <t>0.99 / 1.01</t>
        </is>
      </c>
      <c r="I149" s="14" t="inlineStr">
        <is>
          <t>0.99 counts as matched; 1.01 is a freight mismatch.</t>
        </is>
      </c>
      <c r="J149" s="15" t="inlineStr">
        <is>
          <t>Not Run</t>
        </is>
      </c>
      <c r="K149" s="15" t="n"/>
      <c r="L149" s="15" t="n"/>
      <c r="M149" s="16" t="n"/>
      <c r="N149" s="15" t="n"/>
    </row>
    <row r="150">
      <c r="A150" s="13" t="inlineStr">
        <is>
          <t>CAL-25</t>
        </is>
      </c>
      <c r="B150" s="14" t="inlineStr">
        <is>
          <t>Reconciliation engine (calculations)</t>
        </is>
      </c>
      <c r="C150" s="14" t="inlineStr">
        <is>
          <t>Overcharge classification</t>
        </is>
      </c>
      <c r="D150" s="14" t="inlineStr">
        <is>
          <t>Positive</t>
        </is>
      </c>
      <c r="E150" s="14" t="inlineStr">
        <is>
          <t>High</t>
        </is>
      </c>
      <c r="F150" s="14" t="inlineStr">
        <is>
          <t>-</t>
        </is>
      </c>
      <c r="G150" s="14" t="inlineStr">
        <is>
          <t>1. Delta = calculated - MIS is below -1</t>
        </is>
      </c>
      <c r="H150" s="14" t="inlineStr">
        <is>
          <t>-</t>
        </is>
      </c>
      <c r="I150" s="14" t="inlineStr">
        <is>
          <t>Counted in 'Kwikship owes you' (absolute value).</t>
        </is>
      </c>
      <c r="J150" s="15" t="inlineStr">
        <is>
          <t>Not Run</t>
        </is>
      </c>
      <c r="K150" s="15" t="n"/>
      <c r="L150" s="15" t="n"/>
      <c r="M150" s="16" t="n"/>
      <c r="N150" s="15" t="n"/>
    </row>
    <row r="151">
      <c r="A151" s="13" t="inlineStr">
        <is>
          <t>CAL-26</t>
        </is>
      </c>
      <c r="B151" s="14" t="inlineStr">
        <is>
          <t>Reconciliation engine (calculations)</t>
        </is>
      </c>
      <c r="C151" s="14" t="inlineStr">
        <is>
          <t>Undercharge classification</t>
        </is>
      </c>
      <c r="D151" s="14" t="inlineStr">
        <is>
          <t>Positive</t>
        </is>
      </c>
      <c r="E151" s="14" t="inlineStr">
        <is>
          <t>High</t>
        </is>
      </c>
      <c r="F151" s="14" t="inlineStr">
        <is>
          <t>-</t>
        </is>
      </c>
      <c r="G151" s="14" t="inlineStr">
        <is>
          <t>1. Delta above +1</t>
        </is>
      </c>
      <c r="H151" s="14" t="inlineStr">
        <is>
          <t>-</t>
        </is>
      </c>
      <c r="I151" s="14" t="inlineStr">
        <is>
          <t>Counted in 'You may owe'.</t>
        </is>
      </c>
      <c r="J151" s="15" t="inlineStr">
        <is>
          <t>Not Run</t>
        </is>
      </c>
      <c r="K151" s="15" t="n"/>
      <c r="L151" s="15" t="n"/>
      <c r="M151" s="16" t="n"/>
      <c r="N151" s="15" t="n"/>
    </row>
    <row r="152">
      <c r="A152" s="13" t="inlineStr">
        <is>
          <t>CAL-27</t>
        </is>
      </c>
      <c r="B152" s="14" t="inlineStr">
        <is>
          <t>Reconciliation engine (calculations)</t>
        </is>
      </c>
      <c r="C152" s="14" t="inlineStr">
        <is>
          <t>Run totals add up</t>
        </is>
      </c>
      <c r="D152" s="14" t="inlineStr">
        <is>
          <t>Positive</t>
        </is>
      </c>
      <c r="E152" s="14" t="inlineStr">
        <is>
          <t>High</t>
        </is>
      </c>
      <c r="F152" s="14" t="inlineStr">
        <is>
          <t>A finished run</t>
        </is>
      </c>
      <c r="G152" s="14" t="inlineStr">
        <is>
          <t>1. Compare tiles to table counts</t>
        </is>
      </c>
      <c r="H152" s="14" t="inlineStr">
        <is>
          <t>-</t>
        </is>
      </c>
      <c r="I152" s="14" t="inlineStr">
        <is>
          <t>Total rows = matched + mismatched + no-API (the mismatched tile already includes the LOST rows). Total discrepancy = sum of absolute deltas.</t>
        </is>
      </c>
      <c r="J152" s="15" t="inlineStr">
        <is>
          <t>Not Run</t>
        </is>
      </c>
      <c r="K152" s="15" t="n"/>
      <c r="L152" s="15" t="n"/>
      <c r="M152" s="16" t="n"/>
      <c r="N152" s="15" t="n"/>
    </row>
    <row r="153">
      <c r="A153" s="13" t="inlineStr">
        <is>
          <t>CAL-28</t>
        </is>
      </c>
      <c r="B153" s="14" t="inlineStr">
        <is>
          <t>Reconciliation engine (calculations)</t>
        </is>
      </c>
      <c r="C153" s="14" t="inlineStr">
        <is>
          <t>Missing MIS freight value</t>
        </is>
      </c>
      <c r="D153" s="14" t="inlineStr">
        <is>
          <t>Edge</t>
        </is>
      </c>
      <c r="E153" s="14" t="inlineStr">
        <is>
          <t>Medium</t>
        </is>
      </c>
      <c r="F153" s="14" t="inlineStr">
        <is>
          <t>-</t>
        </is>
      </c>
      <c r="G153" s="14" t="inlineStr">
        <is>
          <t>1. MIS row with blank total freight</t>
        </is>
      </c>
      <c r="H153" s="14" t="inlineStr">
        <is>
          <t>-</t>
        </is>
      </c>
      <c r="I153" s="14" t="inlineStr">
        <is>
          <t>Treated as 0; flagged clearly, no crash.</t>
        </is>
      </c>
      <c r="J153" s="15" t="inlineStr">
        <is>
          <t>Not Run</t>
        </is>
      </c>
      <c r="K153" s="15" t="n"/>
      <c r="L153" s="15" t="n"/>
      <c r="M153" s="16" t="n"/>
      <c r="N153" s="15" t="n"/>
    </row>
    <row r="154">
      <c r="A154" s="13" t="inlineStr">
        <is>
          <t>CAL-29</t>
        </is>
      </c>
      <c r="B154" s="14" t="inlineStr">
        <is>
          <t>Reconciliation engine (calculations)</t>
        </is>
      </c>
      <c r="C154" s="14" t="inlineStr">
        <is>
          <t>Same run repeated gives same numbers</t>
        </is>
      </c>
      <c r="D154" s="14" t="inlineStr">
        <is>
          <t>Regression</t>
        </is>
      </c>
      <c r="E154" s="14" t="inlineStr">
        <is>
          <t>High</t>
        </is>
      </c>
      <c r="F154" s="14" t="inlineStr">
        <is>
          <t>-</t>
        </is>
      </c>
      <c r="G154" s="14" t="inlineStr">
        <is>
          <t>1. Run the same file twice with unchanged data</t>
        </is>
      </c>
      <c r="H154" s="14" t="inlineStr">
        <is>
          <t>-</t>
        </is>
      </c>
      <c r="I154" s="14" t="inlineStr">
        <is>
          <t>Identical counts and amounts.</t>
        </is>
      </c>
      <c r="J154" s="15" t="inlineStr">
        <is>
          <t>Not Run</t>
        </is>
      </c>
      <c r="K154" s="15" t="n"/>
      <c r="L154" s="15" t="n"/>
      <c r="M154" s="16" t="n"/>
      <c r="N154" s="15" t="n"/>
    </row>
    <row r="155">
      <c r="A155" s="13" t="inlineStr">
        <is>
          <t>CAL-30</t>
        </is>
      </c>
      <c r="B155" s="14" t="inlineStr">
        <is>
          <t>Reconciliation engine (calculations)</t>
        </is>
      </c>
      <c r="C155" s="14" t="inlineStr">
        <is>
          <t>Spot-check against your own Excel</t>
        </is>
      </c>
      <c r="D155" s="14" t="inlineStr">
        <is>
          <t>Regression</t>
        </is>
      </c>
      <c r="E155" s="14" t="inlineStr">
        <is>
          <t>High</t>
        </is>
      </c>
      <c r="F155" s="14" t="inlineStr">
        <is>
          <t>-</t>
        </is>
      </c>
      <c r="G155" s="14" t="inlineStr">
        <is>
          <t>1. Recalculate 20 random AWBs in Excel</t>
        </is>
      </c>
      <c r="H155" s="14" t="inlineStr">
        <is>
          <t>-</t>
        </is>
      </c>
      <c r="I155" s="14" t="inlineStr">
        <is>
          <t>At least 99% match; explain any differences (the last full check matched 99.49%).</t>
        </is>
      </c>
      <c r="J155" s="15" t="inlineStr">
        <is>
          <t>Not Run</t>
        </is>
      </c>
      <c r="K155" s="15" t="n"/>
      <c r="L155" s="15" t="n"/>
      <c r="M155" s="16" t="n"/>
      <c r="N155" s="15" t="n"/>
    </row>
    <row r="156">
      <c r="A156" s="13" t="inlineStr">
        <is>
          <t>CAL-31</t>
        </is>
      </c>
      <c r="B156" s="14" t="inlineStr">
        <is>
          <t>Reconciliation engine (calculations)</t>
        </is>
      </c>
      <c r="C156" s="14" t="inlineStr">
        <is>
          <t>Performance of a 23k row run</t>
        </is>
      </c>
      <c r="D156" s="14" t="inlineStr">
        <is>
          <t>Performance</t>
        </is>
      </c>
      <c r="E156" s="14" t="inlineStr">
        <is>
          <t>Medium</t>
        </is>
      </c>
      <c r="F156" s="14" t="inlineStr">
        <is>
          <t>-</t>
        </is>
      </c>
      <c r="G156" s="14" t="inlineStr">
        <is>
          <t>1. Time a full reconciliation</t>
        </is>
      </c>
      <c r="H156" s="14" t="inlineStr">
        <is>
          <t>23,137 rows</t>
        </is>
      </c>
      <c r="I156" s="14" t="inlineStr">
        <is>
          <t>Completes in a reasonable time without timeout.</t>
        </is>
      </c>
      <c r="J156" s="15" t="inlineStr">
        <is>
          <t>Not Run</t>
        </is>
      </c>
      <c r="K156" s="15" t="n"/>
      <c r="L156" s="15" t="n"/>
      <c r="M156" s="16" t="n"/>
      <c r="N156" s="15" t="n"/>
    </row>
    <row r="157">
      <c r="A157" s="13" t="inlineStr">
        <is>
          <t>RUN-01</t>
        </is>
      </c>
      <c r="B157" s="14" t="inlineStr">
        <is>
          <t>Reconciliation runs list</t>
        </is>
      </c>
      <c r="C157" s="14" t="inlineStr">
        <is>
          <t>Runs list content</t>
        </is>
      </c>
      <c r="D157" s="14" t="inlineStr">
        <is>
          <t>Positive</t>
        </is>
      </c>
      <c r="E157" s="14" t="inlineStr">
        <is>
          <t>High</t>
        </is>
      </c>
      <c r="F157" s="14" t="inlineStr">
        <is>
          <t>Runs exist</t>
        </is>
      </c>
      <c r="G157" s="14" t="inlineStr">
        <is>
          <t>1. Open Reconciliation Runs</t>
        </is>
      </c>
      <c r="H157" s="14" t="inlineStr">
        <is>
          <t>-</t>
        </is>
      </c>
      <c r="I157" s="14" t="inlineStr">
        <is>
          <t>Newest first; coloured badges for matched/mismatched/no-API; amounts formatted in rupees.</t>
        </is>
      </c>
      <c r="J157" s="15" t="inlineStr">
        <is>
          <t>Not Run</t>
        </is>
      </c>
      <c r="K157" s="15" t="n"/>
      <c r="L157" s="15" t="n"/>
      <c r="M157" s="16" t="n"/>
      <c r="N157" s="15" t="n"/>
    </row>
    <row r="158">
      <c r="A158" s="13" t="inlineStr">
        <is>
          <t>RUN-02</t>
        </is>
      </c>
      <c r="B158" s="14" t="inlineStr">
        <is>
          <t>Reconciliation runs list</t>
        </is>
      </c>
      <c r="C158" s="14" t="inlineStr">
        <is>
          <t>Summary tiles use latest run</t>
        </is>
      </c>
      <c r="D158" s="14" t="inlineStr">
        <is>
          <t>Positive</t>
        </is>
      </c>
      <c r="E158" s="14" t="inlineStr">
        <is>
          <t>Medium</t>
        </is>
      </c>
      <c r="F158" s="14" t="inlineStr">
        <is>
          <t>-</t>
        </is>
      </c>
      <c r="G158" s="14" t="inlineStr">
        <is>
          <t>1. Compare tiles to the top row</t>
        </is>
      </c>
      <c r="H158" s="14" t="inlineStr">
        <is>
          <t>-</t>
        </is>
      </c>
      <c r="I158" s="14" t="inlineStr">
        <is>
          <t>Total runs, owes you, may owe, lost figures match the newest run.</t>
        </is>
      </c>
      <c r="J158" s="15" t="inlineStr">
        <is>
          <t>Not Run</t>
        </is>
      </c>
      <c r="K158" s="15" t="n"/>
      <c r="L158" s="15" t="n"/>
      <c r="M158" s="16" t="n"/>
      <c r="N158" s="15" t="n"/>
    </row>
    <row r="159">
      <c r="A159" s="13" t="inlineStr">
        <is>
          <t>RUN-03</t>
        </is>
      </c>
      <c r="B159" s="14" t="inlineStr">
        <is>
          <t>Reconciliation runs list</t>
        </is>
      </c>
      <c r="C159" s="14" t="inlineStr">
        <is>
          <t>Open a run by clicking its row</t>
        </is>
      </c>
      <c r="D159" s="14" t="inlineStr">
        <is>
          <t>Positive</t>
        </is>
      </c>
      <c r="E159" s="14" t="inlineStr">
        <is>
          <t>High</t>
        </is>
      </c>
      <c r="F159" s="14" t="inlineStr">
        <is>
          <t>-</t>
        </is>
      </c>
      <c r="G159" s="14" t="inlineStr">
        <is>
          <t>1. Click a row</t>
        </is>
      </c>
      <c r="H159" s="14" t="inlineStr">
        <is>
          <t>-</t>
        </is>
      </c>
      <c r="I159" s="14" t="inlineStr">
        <is>
          <t>Opens that run's results page.</t>
        </is>
      </c>
      <c r="J159" s="15" t="inlineStr">
        <is>
          <t>Not Run</t>
        </is>
      </c>
      <c r="K159" s="15" t="n"/>
      <c r="L159" s="15" t="n"/>
      <c r="M159" s="16" t="n"/>
      <c r="N159" s="15" t="n"/>
    </row>
    <row r="160">
      <c r="A160" s="13" t="inlineStr">
        <is>
          <t>RUN-04</t>
        </is>
      </c>
      <c r="B160" s="14" t="inlineStr">
        <is>
          <t>Reconciliation runs list</t>
        </is>
      </c>
      <c r="C160" s="14" t="inlineStr">
        <is>
          <t>Delete run with confirmation</t>
        </is>
      </c>
      <c r="D160" s="14" t="inlineStr">
        <is>
          <t>Positive</t>
        </is>
      </c>
      <c r="E160" s="14" t="inlineStr">
        <is>
          <t>High</t>
        </is>
      </c>
      <c r="F160" s="14" t="inlineStr">
        <is>
          <t>Admin</t>
        </is>
      </c>
      <c r="G160" s="14" t="inlineStr">
        <is>
          <t>1. Click the delete icon
2. Yes</t>
        </is>
      </c>
      <c r="H160" s="14" t="inlineStr">
        <is>
          <t>-</t>
        </is>
      </c>
      <c r="I160" s="14" t="inlineStr">
        <is>
          <t>Toast confirms; run and its results are removed; tiles update.</t>
        </is>
      </c>
      <c r="J160" s="15" t="inlineStr">
        <is>
          <t>Not Run</t>
        </is>
      </c>
      <c r="K160" s="15" t="n"/>
      <c r="L160" s="15" t="n"/>
      <c r="M160" s="16" t="n"/>
      <c r="N160" s="15" t="n"/>
    </row>
    <row r="161">
      <c r="A161" s="13" t="inlineStr">
        <is>
          <t>RUN-05</t>
        </is>
      </c>
      <c r="B161" s="14" t="inlineStr">
        <is>
          <t>Reconciliation runs list</t>
        </is>
      </c>
      <c r="C161" s="14" t="inlineStr">
        <is>
          <t>Cancel delete run</t>
        </is>
      </c>
      <c r="D161" s="14" t="inlineStr">
        <is>
          <t>Positive</t>
        </is>
      </c>
      <c r="E161" s="14" t="inlineStr">
        <is>
          <t>Medium</t>
        </is>
      </c>
      <c r="F161" s="14" t="inlineStr">
        <is>
          <t>Admin</t>
        </is>
      </c>
      <c r="G161" s="14" t="inlineStr">
        <is>
          <t>1. Click delete
2. No</t>
        </is>
      </c>
      <c r="H161" s="14" t="inlineStr">
        <is>
          <t>-</t>
        </is>
      </c>
      <c r="I161" s="14" t="inlineStr">
        <is>
          <t>Nothing is deleted.</t>
        </is>
      </c>
      <c r="J161" s="15" t="inlineStr">
        <is>
          <t>Not Run</t>
        </is>
      </c>
      <c r="K161" s="15" t="n"/>
      <c r="L161" s="15" t="n"/>
      <c r="M161" s="16" t="n"/>
      <c r="N161" s="15" t="n"/>
    </row>
    <row r="162">
      <c r="A162" s="13" t="inlineStr">
        <is>
          <t>RUN-06</t>
        </is>
      </c>
      <c r="B162" s="14" t="inlineStr">
        <is>
          <t>Reconciliation runs list</t>
        </is>
      </c>
      <c r="C162" s="14" t="inlineStr">
        <is>
          <t>Delete icon hidden for non-admin</t>
        </is>
      </c>
      <c r="D162" s="14" t="inlineStr">
        <is>
          <t>Security</t>
        </is>
      </c>
      <c r="E162" s="14" t="inlineStr">
        <is>
          <t>High</t>
        </is>
      </c>
      <c r="F162" s="14" t="inlineStr">
        <is>
          <t>Normal user</t>
        </is>
      </c>
      <c r="G162" s="14" t="inlineStr">
        <is>
          <t>1. Open the list</t>
        </is>
      </c>
      <c r="H162" s="14" t="inlineStr">
        <is>
          <t>-</t>
        </is>
      </c>
      <c r="I162" s="14" t="inlineStr">
        <is>
          <t>No Actions column.</t>
        </is>
      </c>
      <c r="J162" s="15" t="inlineStr">
        <is>
          <t>Not Run</t>
        </is>
      </c>
      <c r="K162" s="15" t="n"/>
      <c r="L162" s="15" t="n"/>
      <c r="M162" s="16" t="n"/>
      <c r="N162" s="15" t="n"/>
    </row>
    <row r="163">
      <c r="A163" s="13" t="inlineStr">
        <is>
          <t>RUN-07</t>
        </is>
      </c>
      <c r="B163" s="14" t="inlineStr">
        <is>
          <t>Reconciliation runs list</t>
        </is>
      </c>
      <c r="C163" s="14" t="inlineStr">
        <is>
          <t>Empty state</t>
        </is>
      </c>
      <c r="D163" s="14" t="inlineStr">
        <is>
          <t>Edge</t>
        </is>
      </c>
      <c r="E163" s="14" t="inlineStr">
        <is>
          <t>Low</t>
        </is>
      </c>
      <c r="F163" s="14" t="inlineStr">
        <is>
          <t>No runs</t>
        </is>
      </c>
      <c r="G163" s="14" t="inlineStr">
        <is>
          <t>1. Open the page</t>
        </is>
      </c>
      <c r="H163" s="14" t="inlineStr">
        <is>
          <t>-</t>
        </is>
      </c>
      <c r="I163" s="14" t="inlineStr">
        <is>
          <t>Friendly empty message, no tiles, no errors.</t>
        </is>
      </c>
      <c r="J163" s="15" t="inlineStr">
        <is>
          <t>Not Run</t>
        </is>
      </c>
      <c r="K163" s="15" t="n"/>
      <c r="L163" s="15" t="n"/>
      <c r="M163" s="16" t="n"/>
      <c r="N163" s="15" t="n"/>
    </row>
    <row r="164">
      <c r="A164" s="13" t="inlineStr">
        <is>
          <t>RUN-08</t>
        </is>
      </c>
      <c r="B164" s="14" t="inlineStr">
        <is>
          <t>Reconciliation runs list</t>
        </is>
      </c>
      <c r="C164" s="14" t="inlineStr">
        <is>
          <t>Delete run removes its result rows</t>
        </is>
      </c>
      <c r="D164" s="14" t="inlineStr">
        <is>
          <t>Data</t>
        </is>
      </c>
      <c r="E164" s="14" t="inlineStr">
        <is>
          <t>Medium</t>
        </is>
      </c>
      <c r="F164" s="14" t="inlineStr">
        <is>
          <t>-</t>
        </is>
      </c>
      <c r="G164" s="14" t="inlineStr">
        <is>
          <t>1. Delete a run
2. Try to open its old URL</t>
        </is>
      </c>
      <c r="H164" s="14" t="inlineStr">
        <is>
          <t>-</t>
        </is>
      </c>
      <c r="I164" s="14" t="inlineStr">
        <is>
          <t>Run not found message; no orphan data.</t>
        </is>
      </c>
      <c r="J164" s="15" t="inlineStr">
        <is>
          <t>Not Run</t>
        </is>
      </c>
      <c r="K164" s="15" t="n"/>
      <c r="L164" s="15" t="n"/>
      <c r="M164" s="16" t="n"/>
      <c r="N164" s="15" t="n"/>
    </row>
    <row r="165">
      <c r="A165" s="13" t="inlineStr">
        <is>
          <t>RES-01</t>
        </is>
      </c>
      <c r="B165" s="14" t="inlineStr">
        <is>
          <t>Run results page</t>
        </is>
      </c>
      <c r="C165" s="14" t="inlineStr">
        <is>
          <t>Summary tiles</t>
        </is>
      </c>
      <c r="D165" s="14" t="inlineStr">
        <is>
          <t>Positive</t>
        </is>
      </c>
      <c r="E165" s="14" t="inlineStr">
        <is>
          <t>High</t>
        </is>
      </c>
      <c r="F165" s="14" t="inlineStr">
        <is>
          <t>-</t>
        </is>
      </c>
      <c r="G165" s="14" t="inlineStr">
        <is>
          <t>1. Open a run</t>
        </is>
      </c>
      <c r="H165" s="14" t="inlineStr">
        <is>
          <t>-</t>
        </is>
      </c>
      <c r="I165" s="14" t="inlineStr">
        <is>
          <t>Total rows, matched, mismatched, discrepancy, overcharged, undercharged, lost tiles show correct values.</t>
        </is>
      </c>
      <c r="J165" s="15" t="inlineStr">
        <is>
          <t>Not Run</t>
        </is>
      </c>
      <c r="K165" s="15" t="n"/>
      <c r="L165" s="15" t="n"/>
      <c r="M165" s="16" t="n"/>
      <c r="N165" s="15" t="n"/>
    </row>
    <row r="166">
      <c r="A166" s="13" t="inlineStr">
        <is>
          <t>RES-02</t>
        </is>
      </c>
      <c r="B166" s="14" t="inlineStr">
        <is>
          <t>Run results page</t>
        </is>
      </c>
      <c r="C166" s="14" t="inlineStr">
        <is>
          <t>Click Matched tile</t>
        </is>
      </c>
      <c r="D166" s="14" t="inlineStr">
        <is>
          <t>Positive</t>
        </is>
      </c>
      <c r="E166" s="14" t="inlineStr">
        <is>
          <t>High</t>
        </is>
      </c>
      <c r="F166" s="14" t="inlineStr">
        <is>
          <t>-</t>
        </is>
      </c>
      <c r="G166" s="14" t="inlineStr">
        <is>
          <t>1. Click the Matched tile</t>
        </is>
      </c>
      <c r="H166" s="14" t="inlineStr">
        <is>
          <t>-</t>
        </is>
      </c>
      <c r="I166" s="14" t="inlineStr">
        <is>
          <t>Table filters to MATCHED, page scrolls to the table, filter chip appears.</t>
        </is>
      </c>
      <c r="J166" s="15" t="inlineStr">
        <is>
          <t>Not Run</t>
        </is>
      </c>
      <c r="K166" s="15" t="n"/>
      <c r="L166" s="15" t="n"/>
      <c r="M166" s="16" t="n"/>
      <c r="N166" s="15" t="n"/>
    </row>
    <row r="167">
      <c r="A167" s="13" t="inlineStr">
        <is>
          <t>RES-03</t>
        </is>
      </c>
      <c r="B167" s="14" t="inlineStr">
        <is>
          <t>Run results page</t>
        </is>
      </c>
      <c r="C167" s="14" t="inlineStr">
        <is>
          <t>Click Lost tile</t>
        </is>
      </c>
      <c r="D167" s="14" t="inlineStr">
        <is>
          <t>Positive</t>
        </is>
      </c>
      <c r="E167" s="14" t="inlineStr">
        <is>
          <t>High</t>
        </is>
      </c>
      <c r="F167" s="14" t="inlineStr">
        <is>
          <t>-</t>
        </is>
      </c>
      <c r="G167" s="14" t="inlineStr">
        <is>
          <t>1. Click Lost tile</t>
        </is>
      </c>
      <c r="H167" s="14" t="inlineStr">
        <is>
          <t>-</t>
        </is>
      </c>
      <c r="I167" s="14" t="inlineStr">
        <is>
          <t>Table shows LOST rows only and the 'what is in Lost' chips appear.</t>
        </is>
      </c>
      <c r="J167" s="15" t="inlineStr">
        <is>
          <t>Not Run</t>
        </is>
      </c>
      <c r="K167" s="15" t="n"/>
      <c r="L167" s="15" t="n"/>
      <c r="M167" s="16" t="n"/>
      <c r="N167" s="15" t="n"/>
    </row>
    <row r="168">
      <c r="A168" s="13" t="inlineStr">
        <is>
          <t>RES-04</t>
        </is>
      </c>
      <c r="B168" s="14" t="inlineStr">
        <is>
          <t>Run results page</t>
        </is>
      </c>
      <c r="C168" s="14" t="inlineStr">
        <is>
          <t>Click Total rows tile</t>
        </is>
      </c>
      <c r="D168" s="14" t="inlineStr">
        <is>
          <t>Positive</t>
        </is>
      </c>
      <c r="E168" s="14" t="inlineStr">
        <is>
          <t>Medium</t>
        </is>
      </c>
      <c r="F168" s="14" t="inlineStr">
        <is>
          <t>Filters applied</t>
        </is>
      </c>
      <c r="G168" s="14" t="inlineStr">
        <is>
          <t>1. Click Total rows</t>
        </is>
      </c>
      <c r="H168" s="14" t="inlineStr">
        <is>
          <t>-</t>
        </is>
      </c>
      <c r="I168" s="14" t="inlineStr">
        <is>
          <t>All filters are cleared.</t>
        </is>
      </c>
      <c r="J168" s="15" t="inlineStr">
        <is>
          <t>Not Run</t>
        </is>
      </c>
      <c r="K168" s="15" t="n"/>
      <c r="L168" s="15" t="n"/>
      <c r="M168" s="16" t="n"/>
      <c r="N168" s="15" t="n"/>
    </row>
    <row r="169">
      <c r="A169" s="13" t="inlineStr">
        <is>
          <t>RES-05</t>
        </is>
      </c>
      <c r="B169" s="14" t="inlineStr">
        <is>
          <t>Run results page</t>
        </is>
      </c>
      <c r="C169" s="14" t="inlineStr">
        <is>
          <t>Click a category bar</t>
        </is>
      </c>
      <c r="D169" s="14" t="inlineStr">
        <is>
          <t>Positive</t>
        </is>
      </c>
      <c r="E169" s="14" t="inlineStr">
        <is>
          <t>High</t>
        </is>
      </c>
      <c r="F169" s="14" t="inlineStr">
        <is>
          <t>-</t>
        </is>
      </c>
      <c r="G169" s="14" t="inlineStr">
        <is>
          <t>1. Click 'Weight mismatch'</t>
        </is>
      </c>
      <c r="H169" s="14" t="inlineStr">
        <is>
          <t>-</t>
        </is>
      </c>
      <c r="I169" s="14" t="inlineStr">
        <is>
          <t>Table shows only weight mismatches; result count matches the bar number; page scrolls to table.</t>
        </is>
      </c>
      <c r="J169" s="15" t="inlineStr">
        <is>
          <t>Not Run</t>
        </is>
      </c>
      <c r="K169" s="15" t="n"/>
      <c r="L169" s="15" t="n"/>
      <c r="M169" s="16" t="n"/>
      <c r="N169" s="15" t="n"/>
    </row>
    <row r="170">
      <c r="A170" s="13" t="inlineStr">
        <is>
          <t>RES-06</t>
        </is>
      </c>
      <c r="B170" s="14" t="inlineStr">
        <is>
          <t>Run results page</t>
        </is>
      </c>
      <c r="C170" s="14" t="inlineStr">
        <is>
          <t>Click the same category again</t>
        </is>
      </c>
      <c r="D170" s="14" t="inlineStr">
        <is>
          <t>Positive</t>
        </is>
      </c>
      <c r="E170" s="14" t="inlineStr">
        <is>
          <t>Medium</t>
        </is>
      </c>
      <c r="F170" s="14" t="inlineStr">
        <is>
          <t>-</t>
        </is>
      </c>
      <c r="G170" s="14" t="inlineStr">
        <is>
          <t>1. Click the active bar again</t>
        </is>
      </c>
      <c r="H170" s="14" t="inlineStr">
        <is>
          <t>-</t>
        </is>
      </c>
      <c r="I170" s="14" t="inlineStr">
        <is>
          <t>Filter is removed.</t>
        </is>
      </c>
      <c r="J170" s="15" t="inlineStr">
        <is>
          <t>Not Run</t>
        </is>
      </c>
      <c r="K170" s="15" t="n"/>
      <c r="L170" s="15" t="n"/>
      <c r="M170" s="16" t="n"/>
      <c r="N170" s="15" t="n"/>
    </row>
    <row r="171">
      <c r="A171" s="13" t="inlineStr">
        <is>
          <t>RES-07</t>
        </is>
      </c>
      <c r="B171" s="14" t="inlineStr">
        <is>
          <t>Run results page</t>
        </is>
      </c>
      <c r="C171" s="14" t="inlineStr">
        <is>
          <t>Small category is clickable</t>
        </is>
      </c>
      <c r="D171" s="14" t="inlineStr">
        <is>
          <t>Positive</t>
        </is>
      </c>
      <c r="E171" s="14" t="inlineStr">
        <is>
          <t>Medium</t>
        </is>
      </c>
      <c r="F171" s="14" t="inlineStr">
        <is>
          <t>-</t>
        </is>
      </c>
      <c r="G171" s="14" t="inlineStr">
        <is>
          <t>1. Click 'Zone mapping missing' (1 row)</t>
        </is>
      </c>
      <c r="H171" s="14" t="inlineStr">
        <is>
          <t>-</t>
        </is>
      </c>
      <c r="I171" s="14" t="inlineStr">
        <is>
          <t>Works even with a tiny bar.</t>
        </is>
      </c>
      <c r="J171" s="15" t="inlineStr">
        <is>
          <t>Not Run</t>
        </is>
      </c>
      <c r="K171" s="15" t="n"/>
      <c r="L171" s="15" t="n"/>
      <c r="M171" s="16" t="n"/>
      <c r="N171" s="15" t="n"/>
    </row>
    <row r="172">
      <c r="A172" s="13" t="inlineStr">
        <is>
          <t>RES-08</t>
        </is>
      </c>
      <c r="B172" s="14" t="inlineStr">
        <is>
          <t>Run results page</t>
        </is>
      </c>
      <c r="C172" s="14" t="inlineStr">
        <is>
          <t>Dropdown labels</t>
        </is>
      </c>
      <c r="D172" s="14" t="inlineStr">
        <is>
          <t>Regression</t>
        </is>
      </c>
      <c r="E172" s="14" t="inlineStr">
        <is>
          <t>High</t>
        </is>
      </c>
      <c r="F172" s="14" t="inlineStr">
        <is>
          <t>-</t>
        </is>
      </c>
      <c r="G172" s="14" t="inlineStr">
        <is>
          <t>1. Look at the three dropdowns</t>
        </is>
      </c>
      <c r="H172" s="14" t="inlineStr">
        <is>
          <t>-</t>
        </is>
      </c>
      <c r="I172" s="14" t="inlineStr">
        <is>
          <t>Show 'All statuses', 'All zones', 'All modes' (not blank).</t>
        </is>
      </c>
      <c r="J172" s="15" t="inlineStr">
        <is>
          <t>Not Run</t>
        </is>
      </c>
      <c r="K172" s="15" t="n"/>
      <c r="L172" s="15" t="n"/>
      <c r="M172" s="16" t="n"/>
      <c r="N172" s="15" t="n"/>
    </row>
    <row r="173">
      <c r="A173" s="13" t="inlineStr">
        <is>
          <t>RES-09</t>
        </is>
      </c>
      <c r="B173" s="14" t="inlineStr">
        <is>
          <t>Run results page</t>
        </is>
      </c>
      <c r="C173" s="14" t="inlineStr">
        <is>
          <t>Status dropdown filter</t>
        </is>
      </c>
      <c r="D173" s="14" t="inlineStr">
        <is>
          <t>Positive</t>
        </is>
      </c>
      <c r="E173" s="14" t="inlineStr">
        <is>
          <t>High</t>
        </is>
      </c>
      <c r="F173" s="14" t="inlineStr">
        <is>
          <t>-</t>
        </is>
      </c>
      <c r="G173" s="14" t="inlineStr">
        <is>
          <t>1. Pick a status</t>
        </is>
      </c>
      <c r="H173" s="14" t="inlineStr">
        <is>
          <t>-</t>
        </is>
      </c>
      <c r="I173" s="14" t="inlineStr">
        <is>
          <t>Table and result count update.</t>
        </is>
      </c>
      <c r="J173" s="15" t="inlineStr">
        <is>
          <t>Not Run</t>
        </is>
      </c>
      <c r="K173" s="15" t="n"/>
      <c r="L173" s="15" t="n"/>
      <c r="M173" s="16" t="n"/>
      <c r="N173" s="15" t="n"/>
    </row>
    <row r="174">
      <c r="A174" s="13" t="inlineStr">
        <is>
          <t>RES-10</t>
        </is>
      </c>
      <c r="B174" s="14" t="inlineStr">
        <is>
          <t>Run results page</t>
        </is>
      </c>
      <c r="C174" s="14" t="inlineStr">
        <is>
          <t>Zone filter</t>
        </is>
      </c>
      <c r="D174" s="14" t="inlineStr">
        <is>
          <t>Positive</t>
        </is>
      </c>
      <c r="E174" s="14" t="inlineStr">
        <is>
          <t>High</t>
        </is>
      </c>
      <c r="F174" s="14" t="inlineStr">
        <is>
          <t>-</t>
        </is>
      </c>
      <c r="G174" s="14" t="inlineStr">
        <is>
          <t>1. Pick Zone D</t>
        </is>
      </c>
      <c r="H174" s="14" t="inlineStr">
        <is>
          <t>-</t>
        </is>
      </c>
      <c r="I174" s="14" t="inlineStr">
        <is>
          <t>Only rows with calculated zone D.</t>
        </is>
      </c>
      <c r="J174" s="15" t="inlineStr">
        <is>
          <t>Not Run</t>
        </is>
      </c>
      <c r="K174" s="15" t="n"/>
      <c r="L174" s="15" t="n"/>
      <c r="M174" s="16" t="n"/>
      <c r="N174" s="15" t="n"/>
    </row>
    <row r="175">
      <c r="A175" s="13" t="inlineStr">
        <is>
          <t>RES-11</t>
        </is>
      </c>
      <c r="B175" s="14" t="inlineStr">
        <is>
          <t>Run results page</t>
        </is>
      </c>
      <c r="C175" s="14" t="inlineStr">
        <is>
          <t>Mode filter</t>
        </is>
      </c>
      <c r="D175" s="14" t="inlineStr">
        <is>
          <t>Positive</t>
        </is>
      </c>
      <c r="E175" s="14" t="inlineStr">
        <is>
          <t>High</t>
        </is>
      </c>
      <c r="F175" s="14" t="inlineStr">
        <is>
          <t>-</t>
        </is>
      </c>
      <c r="G175" s="14" t="inlineStr">
        <is>
          <t>1. Pick AIR</t>
        </is>
      </c>
      <c r="H175" s="14" t="inlineStr">
        <is>
          <t>-</t>
        </is>
      </c>
      <c r="I175" s="14" t="inlineStr">
        <is>
          <t>Only AIR rows.</t>
        </is>
      </c>
      <c r="J175" s="15" t="inlineStr">
        <is>
          <t>Not Run</t>
        </is>
      </c>
      <c r="K175" s="15" t="n"/>
      <c r="L175" s="15" t="n"/>
      <c r="M175" s="16" t="n"/>
      <c r="N175" s="15" t="n"/>
    </row>
    <row r="176">
      <c r="A176" s="13" t="inlineStr">
        <is>
          <t>RES-12</t>
        </is>
      </c>
      <c r="B176" s="14" t="inlineStr">
        <is>
          <t>Run results page</t>
        </is>
      </c>
      <c r="C176" s="14" t="inlineStr">
        <is>
          <t>Combined filters</t>
        </is>
      </c>
      <c r="D176" s="14" t="inlineStr">
        <is>
          <t>Positive</t>
        </is>
      </c>
      <c r="E176" s="14" t="inlineStr">
        <is>
          <t>High</t>
        </is>
      </c>
      <c r="F176" s="14" t="inlineStr">
        <is>
          <t>-</t>
        </is>
      </c>
      <c r="G176" s="14" t="inlineStr">
        <is>
          <t>1. Status + zone + mode + search together</t>
        </is>
      </c>
      <c r="H176" s="14" t="inlineStr">
        <is>
          <t>-</t>
        </is>
      </c>
      <c r="I176" s="14" t="inlineStr">
        <is>
          <t>Results satisfy all filters; count is correct.</t>
        </is>
      </c>
      <c r="J176" s="15" t="inlineStr">
        <is>
          <t>Not Run</t>
        </is>
      </c>
      <c r="K176" s="15" t="n"/>
      <c r="L176" s="15" t="n"/>
      <c r="M176" s="16" t="n"/>
      <c r="N176" s="15" t="n"/>
    </row>
    <row r="177">
      <c r="A177" s="13" t="inlineStr">
        <is>
          <t>RES-13</t>
        </is>
      </c>
      <c r="B177" s="14" t="inlineStr">
        <is>
          <t>Run results page</t>
        </is>
      </c>
      <c r="C177" s="14" t="inlineStr">
        <is>
          <t>Search by full AWB</t>
        </is>
      </c>
      <c r="D177" s="14" t="inlineStr">
        <is>
          <t>Positive</t>
        </is>
      </c>
      <c r="E177" s="14" t="inlineStr">
        <is>
          <t>High</t>
        </is>
      </c>
      <c r="F177" s="14" t="inlineStr">
        <is>
          <t>-</t>
        </is>
      </c>
      <c r="G177" s="14" t="inlineStr">
        <is>
          <t>1. Type a full AWB</t>
        </is>
      </c>
      <c r="H177" s="14" t="inlineStr">
        <is>
          <t>153787860550393</t>
        </is>
      </c>
      <c r="I177" s="14" t="inlineStr">
        <is>
          <t>Exactly that AWB is shown.</t>
        </is>
      </c>
      <c r="J177" s="15" t="inlineStr">
        <is>
          <t>Not Run</t>
        </is>
      </c>
      <c r="K177" s="15" t="n"/>
      <c r="L177" s="15" t="n"/>
      <c r="M177" s="16" t="n"/>
      <c r="N177" s="15" t="n"/>
    </row>
    <row r="178">
      <c r="A178" s="13" t="inlineStr">
        <is>
          <t>RES-14</t>
        </is>
      </c>
      <c r="B178" s="14" t="inlineStr">
        <is>
          <t>Run results page</t>
        </is>
      </c>
      <c r="C178" s="14" t="inlineStr">
        <is>
          <t>Search by partial AWB</t>
        </is>
      </c>
      <c r="D178" s="14" t="inlineStr">
        <is>
          <t>Positive</t>
        </is>
      </c>
      <c r="E178" s="14" t="inlineStr">
        <is>
          <t>Medium</t>
        </is>
      </c>
      <c r="F178" s="14" t="inlineStr">
        <is>
          <t>-</t>
        </is>
      </c>
      <c r="G178" s="14" t="inlineStr">
        <is>
          <t>1. Type the first 6 digits</t>
        </is>
      </c>
      <c r="H178" s="14" t="inlineStr">
        <is>
          <t>153787</t>
        </is>
      </c>
      <c r="I178" s="14" t="inlineStr">
        <is>
          <t>All AWBs containing the text are shown.</t>
        </is>
      </c>
      <c r="J178" s="15" t="inlineStr">
        <is>
          <t>Not Run</t>
        </is>
      </c>
      <c r="K178" s="15" t="n"/>
      <c r="L178" s="15" t="n"/>
      <c r="M178" s="16" t="n"/>
      <c r="N178" s="15" t="n"/>
    </row>
    <row r="179">
      <c r="A179" s="13" t="inlineStr">
        <is>
          <t>RES-15</t>
        </is>
      </c>
      <c r="B179" s="14" t="inlineStr">
        <is>
          <t>Run results page</t>
        </is>
      </c>
      <c r="C179" s="14" t="inlineStr">
        <is>
          <t>Search with no result</t>
        </is>
      </c>
      <c r="D179" s="14" t="inlineStr">
        <is>
          <t>Negative</t>
        </is>
      </c>
      <c r="E179" s="14" t="inlineStr">
        <is>
          <t>Medium</t>
        </is>
      </c>
      <c r="F179" s="14" t="inlineStr">
        <is>
          <t>-</t>
        </is>
      </c>
      <c r="G179" s="14" t="inlineStr">
        <is>
          <t>1. Type an AWB that does not exist</t>
        </is>
      </c>
      <c r="H179" s="14" t="inlineStr">
        <is>
          <t>999999</t>
        </is>
      </c>
      <c r="I179" s="14" t="inlineStr">
        <is>
          <t>'No results match these filters.' message.</t>
        </is>
      </c>
      <c r="J179" s="15" t="inlineStr">
        <is>
          <t>Not Run</t>
        </is>
      </c>
      <c r="K179" s="15" t="n"/>
      <c r="L179" s="15" t="n"/>
      <c r="M179" s="16" t="n"/>
      <c r="N179" s="15" t="n"/>
    </row>
    <row r="180">
      <c r="A180" s="13" t="inlineStr">
        <is>
          <t>RES-16</t>
        </is>
      </c>
      <c r="B180" s="14" t="inlineStr">
        <is>
          <t>Run results page</t>
        </is>
      </c>
      <c r="C180" s="14" t="inlineStr">
        <is>
          <t>Search with special characters</t>
        </is>
      </c>
      <c r="D180" s="14" t="inlineStr">
        <is>
          <t>Security</t>
        </is>
      </c>
      <c r="E180" s="14" t="inlineStr">
        <is>
          <t>Medium</t>
        </is>
      </c>
      <c r="F180" s="14" t="inlineStr">
        <is>
          <t>-</t>
        </is>
      </c>
      <c r="G180" s="14" t="inlineStr">
        <is>
          <t>1. Type ' OR 1=1 -- and &lt;script&gt;</t>
        </is>
      </c>
      <c r="H180" s="14" t="inlineStr">
        <is>
          <t>' OR 1=1 --</t>
        </is>
      </c>
      <c r="I180" s="14" t="inlineStr">
        <is>
          <t>No error, no injection; no results shown.</t>
        </is>
      </c>
      <c r="J180" s="15" t="inlineStr">
        <is>
          <t>Not Run</t>
        </is>
      </c>
      <c r="K180" s="15" t="n"/>
      <c r="L180" s="15" t="n"/>
      <c r="M180" s="16" t="n"/>
      <c r="N180" s="15" t="n"/>
    </row>
    <row r="181">
      <c r="A181" s="13" t="inlineStr">
        <is>
          <t>RES-17</t>
        </is>
      </c>
      <c r="B181" s="14" t="inlineStr">
        <is>
          <t>Run results page</t>
        </is>
      </c>
      <c r="C181" s="14" t="inlineStr">
        <is>
          <t>Clear filter chip</t>
        </is>
      </c>
      <c r="D181" s="14" t="inlineStr">
        <is>
          <t>Positive</t>
        </is>
      </c>
      <c r="E181" s="14" t="inlineStr">
        <is>
          <t>Medium</t>
        </is>
      </c>
      <c r="F181" s="14" t="inlineStr">
        <is>
          <t>Filters active</t>
        </is>
      </c>
      <c r="G181" s="14" t="inlineStr">
        <is>
          <t>1. Click the Clear chip</t>
        </is>
      </c>
      <c r="H181" s="14" t="inlineStr">
        <is>
          <t>-</t>
        </is>
      </c>
      <c r="I181" s="14" t="inlineStr">
        <is>
          <t>All filters and the search box reset.</t>
        </is>
      </c>
      <c r="J181" s="15" t="inlineStr">
        <is>
          <t>Not Run</t>
        </is>
      </c>
      <c r="K181" s="15" t="n"/>
      <c r="L181" s="15" t="n"/>
      <c r="M181" s="16" t="n"/>
      <c r="N181" s="15" t="n"/>
    </row>
    <row r="182">
      <c r="A182" s="13" t="inlineStr">
        <is>
          <t>RES-18</t>
        </is>
      </c>
      <c r="B182" s="14" t="inlineStr">
        <is>
          <t>Run results page</t>
        </is>
      </c>
      <c r="C182" s="14" t="inlineStr">
        <is>
          <t>Filters survive refresh</t>
        </is>
      </c>
      <c r="D182" s="14" t="inlineStr">
        <is>
          <t>Positive</t>
        </is>
      </c>
      <c r="E182" s="14" t="inlineStr">
        <is>
          <t>High</t>
        </is>
      </c>
      <c r="F182" s="14" t="inlineStr">
        <is>
          <t>Filters active</t>
        </is>
      </c>
      <c r="G182" s="14" t="inlineStr">
        <is>
          <t>1. Press F5</t>
        </is>
      </c>
      <c r="H182" s="14" t="inlineStr">
        <is>
          <t>-</t>
        </is>
      </c>
      <c r="I182" s="14" t="inlineStr">
        <is>
          <t>Same filters, page and results after reload (kept in the URL).</t>
        </is>
      </c>
      <c r="J182" s="15" t="inlineStr">
        <is>
          <t>Not Run</t>
        </is>
      </c>
      <c r="K182" s="15" t="n"/>
      <c r="L182" s="15" t="n"/>
      <c r="M182" s="16" t="n"/>
      <c r="N182" s="15" t="n"/>
    </row>
    <row r="183">
      <c r="A183" s="13" t="inlineStr">
        <is>
          <t>RES-19</t>
        </is>
      </c>
      <c r="B183" s="14" t="inlineStr">
        <is>
          <t>Run results page</t>
        </is>
      </c>
      <c r="C183" s="14" t="inlineStr">
        <is>
          <t>Share a filtered URL</t>
        </is>
      </c>
      <c r="D183" s="14" t="inlineStr">
        <is>
          <t>Positive</t>
        </is>
      </c>
      <c r="E183" s="14" t="inlineStr">
        <is>
          <t>Low</t>
        </is>
      </c>
      <c r="F183" s="14" t="inlineStr">
        <is>
          <t>-</t>
        </is>
      </c>
      <c r="G183" s="14" t="inlineStr">
        <is>
          <t>1. Copy the URL and open in another tab</t>
        </is>
      </c>
      <c r="H183" s="14" t="inlineStr">
        <is>
          <t>-</t>
        </is>
      </c>
      <c r="I183" s="14" t="inlineStr">
        <is>
          <t>Same filtered view opens.</t>
        </is>
      </c>
      <c r="J183" s="15" t="inlineStr">
        <is>
          <t>Not Run</t>
        </is>
      </c>
      <c r="K183" s="15" t="n"/>
      <c r="L183" s="15" t="n"/>
      <c r="M183" s="16" t="n"/>
      <c r="N183" s="15" t="n"/>
    </row>
    <row r="184">
      <c r="A184" s="13" t="inlineStr">
        <is>
          <t>RES-20</t>
        </is>
      </c>
      <c r="B184" s="14" t="inlineStr">
        <is>
          <t>Run results page</t>
        </is>
      </c>
      <c r="C184" s="14" t="inlineStr">
        <is>
          <t>Pagination</t>
        </is>
      </c>
      <c r="D184" s="14" t="inlineStr">
        <is>
          <t>Positive</t>
        </is>
      </c>
      <c r="E184" s="14" t="inlineStr">
        <is>
          <t>High</t>
        </is>
      </c>
      <c r="F184" s="14" t="inlineStr">
        <is>
          <t>-</t>
        </is>
      </c>
      <c r="G184" s="14" t="inlineStr">
        <is>
          <t>1. Go to page 2, last page, back</t>
        </is>
      </c>
      <c r="H184" s="14" t="inlineStr">
        <is>
          <t>-</t>
        </is>
      </c>
      <c r="I184" s="14" t="inlineStr">
        <is>
          <t>Correct rows per page (50); page count matches total/50.</t>
        </is>
      </c>
      <c r="J184" s="15" t="inlineStr">
        <is>
          <t>Not Run</t>
        </is>
      </c>
      <c r="K184" s="15" t="n"/>
      <c r="L184" s="15" t="n"/>
      <c r="M184" s="16" t="n"/>
      <c r="N184" s="15" t="n"/>
    </row>
    <row r="185">
      <c r="A185" s="13" t="inlineStr">
        <is>
          <t>RES-21</t>
        </is>
      </c>
      <c r="B185" s="14" t="inlineStr">
        <is>
          <t>Run results page</t>
        </is>
      </c>
      <c r="C185" s="14" t="inlineStr">
        <is>
          <t>Changing a filter resets to page 1</t>
        </is>
      </c>
      <c r="D185" s="14" t="inlineStr">
        <is>
          <t>Edge</t>
        </is>
      </c>
      <c r="E185" s="14" t="inlineStr">
        <is>
          <t>Medium</t>
        </is>
      </c>
      <c r="F185" s="14" t="inlineStr">
        <is>
          <t>On page 5</t>
        </is>
      </c>
      <c r="G185" s="14" t="inlineStr">
        <is>
          <t>1. Change a filter</t>
        </is>
      </c>
      <c r="H185" s="14" t="inlineStr">
        <is>
          <t>-</t>
        </is>
      </c>
      <c r="I185" s="14" t="inlineStr">
        <is>
          <t>Returns to page 1.</t>
        </is>
      </c>
      <c r="J185" s="15" t="inlineStr">
        <is>
          <t>Not Run</t>
        </is>
      </c>
      <c r="K185" s="15" t="n"/>
      <c r="L185" s="15" t="n"/>
      <c r="M185" s="16" t="n"/>
      <c r="N185" s="15" t="n"/>
    </row>
    <row r="186">
      <c r="A186" s="13" t="inlineStr">
        <is>
          <t>RES-22</t>
        </is>
      </c>
      <c r="B186" s="14" t="inlineStr">
        <is>
          <t>Run results page</t>
        </is>
      </c>
      <c r="C186" s="14" t="inlineStr">
        <is>
          <t>Row expand details</t>
        </is>
      </c>
      <c r="D186" s="14" t="inlineStr">
        <is>
          <t>Positive</t>
        </is>
      </c>
      <c r="E186" s="14" t="inlineStr">
        <is>
          <t>Medium</t>
        </is>
      </c>
      <c r="F186" s="14" t="inlineStr">
        <is>
          <t>-</t>
        </is>
      </c>
      <c r="G186" s="14" t="inlineStr">
        <is>
          <t>1. Click a row</t>
        </is>
      </c>
      <c r="H186" s="14" t="inlineStr">
        <is>
          <t>-</t>
        </is>
      </c>
      <c r="I186" s="14" t="inlineStr">
        <is>
          <t>Details show courier, mode, pincodes, forward/RTO/COD/gross (MIS vs calc) and notes.</t>
        </is>
      </c>
      <c r="J186" s="15" t="inlineStr">
        <is>
          <t>Not Run</t>
        </is>
      </c>
      <c r="K186" s="15" t="n"/>
      <c r="L186" s="15" t="n"/>
      <c r="M186" s="16" t="n"/>
      <c r="N186" s="15" t="n"/>
    </row>
    <row r="187">
      <c r="A187" s="13" t="inlineStr">
        <is>
          <t>RES-23</t>
        </is>
      </c>
      <c r="B187" s="14" t="inlineStr">
        <is>
          <t>Run results page</t>
        </is>
      </c>
      <c r="C187" s="14" t="inlineStr">
        <is>
          <t>Mismatch cells highlighted</t>
        </is>
      </c>
      <c r="D187" s="14" t="inlineStr">
        <is>
          <t>Positive</t>
        </is>
      </c>
      <c r="E187" s="14" t="inlineStr">
        <is>
          <t>Medium</t>
        </is>
      </c>
      <c r="F187" s="14" t="inlineStr">
        <is>
          <t>-</t>
        </is>
      </c>
      <c r="G187" s="14" t="inlineStr">
        <is>
          <t>1. Open a zone/weight/payment mismatch row</t>
        </is>
      </c>
      <c r="H187" s="14" t="inlineStr">
        <is>
          <t>-</t>
        </is>
      </c>
      <c r="I187" s="14" t="inlineStr">
        <is>
          <t>The mismatching cell is red and bold.</t>
        </is>
      </c>
      <c r="J187" s="15" t="inlineStr">
        <is>
          <t>Not Run</t>
        </is>
      </c>
      <c r="K187" s="15" t="n"/>
      <c r="L187" s="15" t="n"/>
      <c r="M187" s="16" t="n"/>
      <c r="N187" s="15" t="n"/>
    </row>
    <row r="188">
      <c r="A188" s="13" t="inlineStr">
        <is>
          <t>RES-24</t>
        </is>
      </c>
      <c r="B188" s="14" t="inlineStr">
        <is>
          <t>Run results page</t>
        </is>
      </c>
      <c r="C188" s="14" t="inlineStr">
        <is>
          <t>Lost row display</t>
        </is>
      </c>
      <c r="D188" s="14" t="inlineStr">
        <is>
          <t>Positive</t>
        </is>
      </c>
      <c r="E188" s="14" t="inlineStr">
        <is>
          <t>Medium</t>
        </is>
      </c>
      <c r="F188" s="14" t="inlineStr">
        <is>
          <t>-</t>
        </is>
      </c>
      <c r="G188" s="14" t="inlineStr">
        <is>
          <t>1. Open a LOST row</t>
        </is>
      </c>
      <c r="H188" s="14" t="inlineStr">
        <is>
          <t>-</t>
        </is>
      </c>
      <c r="I188" s="14" t="inlineStr">
        <is>
          <t>Calc freight and delta show N/A; Claim back shows the amount in purple.</t>
        </is>
      </c>
      <c r="J188" s="15" t="inlineStr">
        <is>
          <t>Not Run</t>
        </is>
      </c>
      <c r="K188" s="15" t="n"/>
      <c r="L188" s="15" t="n"/>
      <c r="M188" s="16" t="n"/>
      <c r="N188" s="15" t="n"/>
    </row>
    <row r="189">
      <c r="A189" s="13" t="inlineStr">
        <is>
          <t>RES-25</t>
        </is>
      </c>
      <c r="B189" s="14" t="inlineStr">
        <is>
          <t>Run results page</t>
        </is>
      </c>
      <c r="C189" s="14" t="inlineStr">
        <is>
          <t>Export CSV - all rows</t>
        </is>
      </c>
      <c r="D189" s="14" t="inlineStr">
        <is>
          <t>Positive</t>
        </is>
      </c>
      <c r="E189" s="14" t="inlineStr">
        <is>
          <t>High</t>
        </is>
      </c>
      <c r="F189" s="14" t="inlineStr">
        <is>
          <t>No filters</t>
        </is>
      </c>
      <c r="G189" s="14" t="inlineStr">
        <is>
          <t>1. Click Export CSV</t>
        </is>
      </c>
      <c r="H189" s="14" t="inlineStr">
        <is>
          <t>-</t>
        </is>
      </c>
      <c r="I189" s="14" t="inlineStr">
        <is>
          <t>CSV of all rows downloads; opens in Excel with correct columns.</t>
        </is>
      </c>
      <c r="J189" s="15" t="inlineStr">
        <is>
          <t>Not Run</t>
        </is>
      </c>
      <c r="K189" s="15" t="n"/>
      <c r="L189" s="15" t="n"/>
      <c r="M189" s="16" t="n"/>
      <c r="N189" s="15" t="n"/>
    </row>
    <row r="190">
      <c r="A190" s="13" t="inlineStr">
        <is>
          <t>RES-26</t>
        </is>
      </c>
      <c r="B190" s="14" t="inlineStr">
        <is>
          <t>Run results page</t>
        </is>
      </c>
      <c r="C190" s="14" t="inlineStr">
        <is>
          <t>Export CSV - filtered</t>
        </is>
      </c>
      <c r="D190" s="14" t="inlineStr">
        <is>
          <t>Positive</t>
        </is>
      </c>
      <c r="E190" s="14" t="inlineStr">
        <is>
          <t>High</t>
        </is>
      </c>
      <c r="F190" s="14" t="inlineStr">
        <is>
          <t>Filter = Weight mismatch</t>
        </is>
      </c>
      <c r="G190" s="14" t="inlineStr">
        <is>
          <t>1. Click Export CSV</t>
        </is>
      </c>
      <c r="H190" s="14" t="inlineStr">
        <is>
          <t>-</t>
        </is>
      </c>
      <c r="I190" s="14" t="inlineStr">
        <is>
          <t>CSV contains only the filtered rows.</t>
        </is>
      </c>
      <c r="J190" s="15" t="inlineStr">
        <is>
          <t>Not Run</t>
        </is>
      </c>
      <c r="K190" s="15" t="n"/>
      <c r="L190" s="15" t="n"/>
      <c r="M190" s="16" t="n"/>
      <c r="N190" s="15" t="n"/>
    </row>
    <row r="191">
      <c r="A191" s="13" t="inlineStr">
        <is>
          <t>RES-27</t>
        </is>
      </c>
      <c r="B191" s="14" t="inlineStr">
        <is>
          <t>Run results page</t>
        </is>
      </c>
      <c r="C191" s="14" t="inlineStr">
        <is>
          <t>Export CSV - no rows match</t>
        </is>
      </c>
      <c r="D191" s="14" t="inlineStr">
        <is>
          <t>Edge</t>
        </is>
      </c>
      <c r="E191" s="14" t="inlineStr">
        <is>
          <t>Low</t>
        </is>
      </c>
      <c r="F191" s="14" t="inlineStr">
        <is>
          <t>Filters return nothing</t>
        </is>
      </c>
      <c r="G191" s="14" t="inlineStr">
        <is>
          <t>1. Click Export CSV</t>
        </is>
      </c>
      <c r="H191" s="14" t="inlineStr">
        <is>
          <t>-</t>
        </is>
      </c>
      <c r="I191" s="14" t="inlineStr">
        <is>
          <t>Clear 'no results' response, not a broken file.</t>
        </is>
      </c>
      <c r="J191" s="15" t="inlineStr">
        <is>
          <t>Not Run</t>
        </is>
      </c>
      <c r="K191" s="15" t="n"/>
      <c r="L191" s="15" t="n"/>
      <c r="M191" s="16" t="n"/>
      <c r="N191" s="15" t="n"/>
    </row>
    <row r="192">
      <c r="A192" s="13" t="inlineStr">
        <is>
          <t>RES-28</t>
        </is>
      </c>
      <c r="B192" s="14" t="inlineStr">
        <is>
          <t>Run results page</t>
        </is>
      </c>
      <c r="C192" s="14" t="inlineStr">
        <is>
          <t>Export values in Excel</t>
        </is>
      </c>
      <c r="D192" s="14" t="inlineStr">
        <is>
          <t>Positive</t>
        </is>
      </c>
      <c r="E192" s="14" t="inlineStr">
        <is>
          <t>Medium</t>
        </is>
      </c>
      <c r="F192" s="14" t="inlineStr">
        <is>
          <t>-</t>
        </is>
      </c>
      <c r="G192" s="14" t="inlineStr">
        <is>
          <t>1. Open CSV in Excel</t>
        </is>
      </c>
      <c r="H192" s="14" t="inlineStr">
        <is>
          <t>-</t>
        </is>
      </c>
      <c r="I192" s="14" t="inlineStr">
        <is>
          <t>Long AWBs and commas in notes are not corrupted.</t>
        </is>
      </c>
      <c r="J192" s="15" t="inlineStr">
        <is>
          <t>Not Run</t>
        </is>
      </c>
      <c r="K192" s="15" t="n"/>
      <c r="L192" s="15" t="n"/>
      <c r="M192" s="16" t="n"/>
      <c r="N192" s="15" t="n"/>
    </row>
    <row r="193">
      <c r="A193" s="13" t="inlineStr">
        <is>
          <t>RES-29</t>
        </is>
      </c>
      <c r="B193" s="14" t="inlineStr">
        <is>
          <t>Run results page</t>
        </is>
      </c>
      <c r="C193" s="14" t="inlineStr">
        <is>
          <t>Invalid run number in URL</t>
        </is>
      </c>
      <c r="D193" s="14" t="inlineStr">
        <is>
          <t>Negative</t>
        </is>
      </c>
      <c r="E193" s="14" t="inlineStr">
        <is>
          <t>Medium</t>
        </is>
      </c>
      <c r="F193" s="14" t="inlineStr">
        <is>
          <t>-</t>
        </is>
      </c>
      <c r="G193" s="14" t="inlineStr">
        <is>
          <t>1. Open /reconciliation/99999 and /reconciliation/abc</t>
        </is>
      </c>
      <c r="H193" s="14" t="inlineStr">
        <is>
          <t>-</t>
        </is>
      </c>
      <c r="I193" s="14" t="inlineStr">
        <is>
          <t>'Run not found' or empty state - no crash.</t>
        </is>
      </c>
      <c r="J193" s="15" t="inlineStr">
        <is>
          <t>Not Run</t>
        </is>
      </c>
      <c r="K193" s="15" t="n"/>
      <c r="L193" s="15" t="n"/>
      <c r="M193" s="16" t="n"/>
      <c r="N193" s="15" t="n"/>
    </row>
    <row r="194">
      <c r="A194" s="13" t="inlineStr">
        <is>
          <t>RES-30</t>
        </is>
      </c>
      <c r="B194" s="14" t="inlineStr">
        <is>
          <t>Run results page</t>
        </is>
      </c>
      <c r="C194" s="14" t="inlineStr">
        <is>
          <t>Loading state</t>
        </is>
      </c>
      <c r="D194" s="14" t="inlineStr">
        <is>
          <t>UI</t>
        </is>
      </c>
      <c r="E194" s="14" t="inlineStr">
        <is>
          <t>Low</t>
        </is>
      </c>
      <c r="F194" s="14" t="inlineStr">
        <is>
          <t>-</t>
        </is>
      </c>
      <c r="G194" s="14" t="inlineStr">
        <is>
          <t>1. Open a large run on a slow connection</t>
        </is>
      </c>
      <c r="H194" s="14" t="inlineStr">
        <is>
          <t>-</t>
        </is>
      </c>
      <c r="I194" s="14" t="inlineStr">
        <is>
          <t>Loading indicator shown; table dims while filtering.</t>
        </is>
      </c>
      <c r="J194" s="15" t="inlineStr">
        <is>
          <t>Not Run</t>
        </is>
      </c>
      <c r="K194" s="15" t="n"/>
      <c r="L194" s="15" t="n"/>
      <c r="M194" s="16" t="n"/>
      <c r="N194" s="15" t="n"/>
    </row>
    <row r="195">
      <c r="A195" s="13" t="inlineStr">
        <is>
          <t>UI-01</t>
        </is>
      </c>
      <c r="B195" s="14" t="inlineStr">
        <is>
          <t>UI, theme and responsive</t>
        </is>
      </c>
      <c r="C195" s="14" t="inlineStr">
        <is>
          <t>Dark / light toggle</t>
        </is>
      </c>
      <c r="D195" s="14" t="inlineStr">
        <is>
          <t>Positive</t>
        </is>
      </c>
      <c r="E195" s="14" t="inlineStr">
        <is>
          <t>High</t>
        </is>
      </c>
      <c r="F195" s="14" t="inlineStr">
        <is>
          <t>-</t>
        </is>
      </c>
      <c r="G195" s="14" t="inlineStr">
        <is>
          <t>1. Click Dark, then Light in the sidebar</t>
        </is>
      </c>
      <c r="H195" s="14" t="inlineStr">
        <is>
          <t>-</t>
        </is>
      </c>
      <c r="I195" s="14" t="inlineStr">
        <is>
          <t>Whole app switches (sidebar, tables, dialogs, toasts, dropdowns).</t>
        </is>
      </c>
      <c r="J195" s="15" t="inlineStr">
        <is>
          <t>Not Run</t>
        </is>
      </c>
      <c r="K195" s="15" t="n"/>
      <c r="L195" s="15" t="n"/>
      <c r="M195" s="16" t="n"/>
      <c r="N195" s="15" t="n"/>
    </row>
    <row r="196">
      <c r="A196" s="13" t="inlineStr">
        <is>
          <t>UI-02</t>
        </is>
      </c>
      <c r="B196" s="14" t="inlineStr">
        <is>
          <t>UI, theme and responsive</t>
        </is>
      </c>
      <c r="C196" s="14" t="inlineStr">
        <is>
          <t>Theme is remembered</t>
        </is>
      </c>
      <c r="D196" s="14" t="inlineStr">
        <is>
          <t>Positive</t>
        </is>
      </c>
      <c r="E196" s="14" t="inlineStr">
        <is>
          <t>Medium</t>
        </is>
      </c>
      <c r="F196" s="14" t="inlineStr">
        <is>
          <t>-</t>
        </is>
      </c>
      <c r="G196" s="14" t="inlineStr">
        <is>
          <t>1. Choose dark
2. Refresh / reopen</t>
        </is>
      </c>
      <c r="H196" s="14" t="inlineStr">
        <is>
          <t>-</t>
        </is>
      </c>
      <c r="I196" s="14" t="inlineStr">
        <is>
          <t>Dark mode stays.</t>
        </is>
      </c>
      <c r="J196" s="15" t="inlineStr">
        <is>
          <t>Not Run</t>
        </is>
      </c>
      <c r="K196" s="15" t="n"/>
      <c r="L196" s="15" t="n"/>
      <c r="M196" s="16" t="n"/>
      <c r="N196" s="15" t="n"/>
    </row>
    <row r="197">
      <c r="A197" s="13" t="inlineStr">
        <is>
          <t>UI-03</t>
        </is>
      </c>
      <c r="B197" s="14" t="inlineStr">
        <is>
          <t>UI, theme and responsive</t>
        </is>
      </c>
      <c r="C197" s="14" t="inlineStr">
        <is>
          <t>Logo shown correctly</t>
        </is>
      </c>
      <c r="D197" s="14" t="inlineStr">
        <is>
          <t>Positive</t>
        </is>
      </c>
      <c r="E197" s="14" t="inlineStr">
        <is>
          <t>Medium</t>
        </is>
      </c>
      <c r="F197" s="14" t="inlineStr">
        <is>
          <t>-</t>
        </is>
      </c>
      <c r="G197" s="14" t="inlineStr">
        <is>
          <t>1. Check login, sidebar, mobile top bar, browser tab</t>
        </is>
      </c>
      <c r="H197" s="14" t="inlineStr">
        <is>
          <t>-</t>
        </is>
      </c>
      <c r="I197" s="14" t="inlineStr">
        <is>
          <t>Pokonut logo shows in white on dark and brown on light; tab icon shows.</t>
        </is>
      </c>
      <c r="J197" s="15" t="inlineStr">
        <is>
          <t>Not Run</t>
        </is>
      </c>
      <c r="K197" s="15" t="n"/>
      <c r="L197" s="15" t="n"/>
      <c r="M197" s="16" t="n"/>
      <c r="N197" s="15" t="n"/>
    </row>
    <row r="198">
      <c r="A198" s="13" t="inlineStr">
        <is>
          <t>UI-04</t>
        </is>
      </c>
      <c r="B198" s="14" t="inlineStr">
        <is>
          <t>UI, theme and responsive</t>
        </is>
      </c>
      <c r="C198" s="14" t="inlineStr">
        <is>
          <t>Desktop layout 1920x1080</t>
        </is>
      </c>
      <c r="D198" s="14" t="inlineStr">
        <is>
          <t>UI</t>
        </is>
      </c>
      <c r="E198" s="14" t="inlineStr">
        <is>
          <t>High</t>
        </is>
      </c>
      <c r="F198" s="14" t="inlineStr">
        <is>
          <t>-</t>
        </is>
      </c>
      <c r="G198" s="14" t="inlineStr">
        <is>
          <t>1. Open each page at full HD</t>
        </is>
      </c>
      <c r="H198" s="14" t="inlineStr">
        <is>
          <t>-</t>
        </is>
      </c>
      <c r="I198" s="14" t="inlineStr">
        <is>
          <t>No horizontal page scroll, tiles aligned, tables readable.</t>
        </is>
      </c>
      <c r="J198" s="15" t="inlineStr">
        <is>
          <t>Not Run</t>
        </is>
      </c>
      <c r="K198" s="15" t="n"/>
      <c r="L198" s="15" t="n"/>
      <c r="M198" s="16" t="n"/>
      <c r="N198" s="15" t="n"/>
    </row>
    <row r="199">
      <c r="A199" s="13" t="inlineStr">
        <is>
          <t>UI-05</t>
        </is>
      </c>
      <c r="B199" s="14" t="inlineStr">
        <is>
          <t>UI, theme and responsive</t>
        </is>
      </c>
      <c r="C199" s="14" t="inlineStr">
        <is>
          <t>Laptop layout 1366x768</t>
        </is>
      </c>
      <c r="D199" s="14" t="inlineStr">
        <is>
          <t>UI</t>
        </is>
      </c>
      <c r="E199" s="14" t="inlineStr">
        <is>
          <t>High</t>
        </is>
      </c>
      <c r="F199" s="14" t="inlineStr">
        <is>
          <t>-</t>
        </is>
      </c>
      <c r="G199" s="14" t="inlineStr">
        <is>
          <t>1. Open each page</t>
        </is>
      </c>
      <c r="H199" s="14" t="inlineStr">
        <is>
          <t>-</t>
        </is>
      </c>
      <c r="I199" s="14" t="inlineStr">
        <is>
          <t>Sidebar fixed; content scrolls; no overlaps.</t>
        </is>
      </c>
      <c r="J199" s="15" t="inlineStr">
        <is>
          <t>Not Run</t>
        </is>
      </c>
      <c r="K199" s="15" t="n"/>
      <c r="L199" s="15" t="n"/>
      <c r="M199" s="16" t="n"/>
      <c r="N199" s="15" t="n"/>
    </row>
    <row r="200">
      <c r="A200" s="13" t="inlineStr">
        <is>
          <t>UI-06</t>
        </is>
      </c>
      <c r="B200" s="14" t="inlineStr">
        <is>
          <t>UI, theme and responsive</t>
        </is>
      </c>
      <c r="C200" s="14" t="inlineStr">
        <is>
          <t>Tablet layout 768-1024px</t>
        </is>
      </c>
      <c r="D200" s="14" t="inlineStr">
        <is>
          <t>UI</t>
        </is>
      </c>
      <c r="E200" s="14" t="inlineStr">
        <is>
          <t>Medium</t>
        </is>
      </c>
      <c r="F200" s="14" t="inlineStr">
        <is>
          <t>-</t>
        </is>
      </c>
      <c r="G200" s="14" t="inlineStr">
        <is>
          <t>1. Open each page</t>
        </is>
      </c>
      <c r="H200" s="14" t="inlineStr">
        <is>
          <t>-</t>
        </is>
      </c>
      <c r="I200" s="14" t="inlineStr">
        <is>
          <t>Layout adapts; tables scroll or stack.</t>
        </is>
      </c>
      <c r="J200" s="15" t="inlineStr">
        <is>
          <t>Not Run</t>
        </is>
      </c>
      <c r="K200" s="15" t="n"/>
      <c r="L200" s="15" t="n"/>
      <c r="M200" s="16" t="n"/>
      <c r="N200" s="15" t="n"/>
    </row>
    <row r="201">
      <c r="A201" s="13" t="inlineStr">
        <is>
          <t>UI-07</t>
        </is>
      </c>
      <c r="B201" s="14" t="inlineStr">
        <is>
          <t>UI, theme and responsive</t>
        </is>
      </c>
      <c r="C201" s="14" t="inlineStr">
        <is>
          <t>Mobile layout 375px</t>
        </is>
      </c>
      <c r="D201" s="14" t="inlineStr">
        <is>
          <t>UI</t>
        </is>
      </c>
      <c r="E201" s="14" t="inlineStr">
        <is>
          <t>High</t>
        </is>
      </c>
      <c r="F201" s="14" t="inlineStr">
        <is>
          <t>-</t>
        </is>
      </c>
      <c r="G201" s="14" t="inlineStr">
        <is>
          <t>1. Open each page</t>
        </is>
      </c>
      <c r="H201" s="14" t="inlineStr">
        <is>
          <t>-</t>
        </is>
      </c>
      <c r="I201" s="14" t="inlineStr">
        <is>
          <t>Top bar with logo and menu button; menu drawer works; tiles stack; tables become cards; buttons reachable.</t>
        </is>
      </c>
      <c r="J201" s="15" t="inlineStr">
        <is>
          <t>Not Run</t>
        </is>
      </c>
      <c r="K201" s="15" t="n"/>
      <c r="L201" s="15" t="n"/>
      <c r="M201" s="16" t="n"/>
      <c r="N201" s="15" t="n"/>
    </row>
    <row r="202">
      <c r="A202" s="13" t="inlineStr">
        <is>
          <t>UI-08</t>
        </is>
      </c>
      <c r="B202" s="14" t="inlineStr">
        <is>
          <t>UI, theme and responsive</t>
        </is>
      </c>
      <c r="C202" s="14" t="inlineStr">
        <is>
          <t>Mobile menu drawer</t>
        </is>
      </c>
      <c r="D202" s="14" t="inlineStr">
        <is>
          <t>UI</t>
        </is>
      </c>
      <c r="E202" s="14" t="inlineStr">
        <is>
          <t>Medium</t>
        </is>
      </c>
      <c r="F202" s="14" t="inlineStr">
        <is>
          <t>Mobile</t>
        </is>
      </c>
      <c r="G202" s="14" t="inlineStr">
        <is>
          <t>1. Open menu
2. Tap a page</t>
        </is>
      </c>
      <c r="H202" s="14" t="inlineStr">
        <is>
          <t>-</t>
        </is>
      </c>
      <c r="I202" s="14" t="inlineStr">
        <is>
          <t>Drawer opens, navigates, and closes.</t>
        </is>
      </c>
      <c r="J202" s="15" t="inlineStr">
        <is>
          <t>Not Run</t>
        </is>
      </c>
      <c r="K202" s="15" t="n"/>
      <c r="L202" s="15" t="n"/>
      <c r="M202" s="16" t="n"/>
      <c r="N202" s="15" t="n"/>
    </row>
    <row r="203">
      <c r="A203" s="13" t="inlineStr">
        <is>
          <t>UI-09</t>
        </is>
      </c>
      <c r="B203" s="14" t="inlineStr">
        <is>
          <t>UI, theme and responsive</t>
        </is>
      </c>
      <c r="C203" s="14" t="inlineStr">
        <is>
          <t>Browser zoom 125% / 150%</t>
        </is>
      </c>
      <c r="D203" s="14" t="inlineStr">
        <is>
          <t>UI</t>
        </is>
      </c>
      <c r="E203" s="14" t="inlineStr">
        <is>
          <t>Low</t>
        </is>
      </c>
      <c r="F203" s="14" t="inlineStr">
        <is>
          <t>-</t>
        </is>
      </c>
      <c r="G203" s="14" t="inlineStr">
        <is>
          <t>1. Zoom in</t>
        </is>
      </c>
      <c r="H203" s="14" t="inlineStr">
        <is>
          <t>-</t>
        </is>
      </c>
      <c r="I203" s="14" t="inlineStr">
        <is>
          <t>Layout still usable.</t>
        </is>
      </c>
      <c r="J203" s="15" t="inlineStr">
        <is>
          <t>Not Run</t>
        </is>
      </c>
      <c r="K203" s="15" t="n"/>
      <c r="L203" s="15" t="n"/>
      <c r="M203" s="16" t="n"/>
      <c r="N203" s="15" t="n"/>
    </row>
    <row r="204">
      <c r="A204" s="13" t="inlineStr">
        <is>
          <t>UI-10</t>
        </is>
      </c>
      <c r="B204" s="14" t="inlineStr">
        <is>
          <t>UI, theme and responsive</t>
        </is>
      </c>
      <c r="C204" s="14" t="inlineStr">
        <is>
          <t>Browsers</t>
        </is>
      </c>
      <c r="D204" s="14" t="inlineStr">
        <is>
          <t>Compatibility</t>
        </is>
      </c>
      <c r="E204" s="14" t="inlineStr">
        <is>
          <t>Medium</t>
        </is>
      </c>
      <c r="F204" s="14" t="inlineStr">
        <is>
          <t>-</t>
        </is>
      </c>
      <c r="G204" s="14" t="inlineStr">
        <is>
          <t>1. Repeat key flows in Chrome, Edge, Firefox, Safari</t>
        </is>
      </c>
      <c r="H204" s="14" t="inlineStr">
        <is>
          <t>-</t>
        </is>
      </c>
      <c r="I204" s="14" t="inlineStr">
        <is>
          <t>Same behaviour and appearance.</t>
        </is>
      </c>
      <c r="J204" s="15" t="inlineStr">
        <is>
          <t>Not Run</t>
        </is>
      </c>
      <c r="K204" s="15" t="n"/>
      <c r="L204" s="15" t="n"/>
      <c r="M204" s="16" t="n"/>
      <c r="N204" s="15" t="n"/>
    </row>
    <row r="205">
      <c r="A205" s="13" t="inlineStr">
        <is>
          <t>UI-11</t>
        </is>
      </c>
      <c r="B205" s="14" t="inlineStr">
        <is>
          <t>UI, theme and responsive</t>
        </is>
      </c>
      <c r="C205" s="14" t="inlineStr">
        <is>
          <t>Toast position and timing</t>
        </is>
      </c>
      <c r="D205" s="14" t="inlineStr">
        <is>
          <t>UI</t>
        </is>
      </c>
      <c r="E205" s="14" t="inlineStr">
        <is>
          <t>Low</t>
        </is>
      </c>
      <c r="F205" s="14" t="inlineStr">
        <is>
          <t>-</t>
        </is>
      </c>
      <c r="G205" s="14" t="inlineStr">
        <is>
          <t>1. Trigger success, warning, error toasts</t>
        </is>
      </c>
      <c r="H205" s="14" t="inlineStr">
        <is>
          <t>-</t>
        </is>
      </c>
      <c r="I205" s="14" t="inlineStr">
        <is>
          <t>Top-right; success 4s, warning 5s, error 6s; stack cleanly.</t>
        </is>
      </c>
      <c r="J205" s="15" t="inlineStr">
        <is>
          <t>Not Run</t>
        </is>
      </c>
      <c r="K205" s="15" t="n"/>
      <c r="L205" s="15" t="n"/>
      <c r="M205" s="16" t="n"/>
      <c r="N205" s="15" t="n"/>
    </row>
    <row r="206">
      <c r="A206" s="13" t="inlineStr">
        <is>
          <t>UI-12</t>
        </is>
      </c>
      <c r="B206" s="14" t="inlineStr">
        <is>
          <t>UI, theme and responsive</t>
        </is>
      </c>
      <c r="C206" s="14" t="inlineStr">
        <is>
          <t>Buttons look full colour</t>
        </is>
      </c>
      <c r="D206" s="14" t="inlineStr">
        <is>
          <t>UI</t>
        </is>
      </c>
      <c r="E206" s="14" t="inlineStr">
        <is>
          <t>Medium</t>
        </is>
      </c>
      <c r="F206" s="14" t="inlineStr">
        <is>
          <t>-</t>
        </is>
      </c>
      <c r="G206" s="14" t="inlineStr">
        <is>
          <t>1. Check Sign In, Upload, Run reconciliation, Add user</t>
        </is>
      </c>
      <c r="H206" s="14" t="inlineStr">
        <is>
          <t>-</t>
        </is>
      </c>
      <c r="I206" s="14" t="inlineStr">
        <is>
          <t>Orange-to-red gradient with white text; disabled state only while busy/permission-blocked.</t>
        </is>
      </c>
      <c r="J206" s="15" t="inlineStr">
        <is>
          <t>Not Run</t>
        </is>
      </c>
      <c r="K206" s="15" t="n"/>
      <c r="L206" s="15" t="n"/>
      <c r="M206" s="16" t="n"/>
      <c r="N206" s="15" t="n"/>
    </row>
    <row r="207">
      <c r="A207" s="13" t="inlineStr">
        <is>
          <t>UI-13</t>
        </is>
      </c>
      <c r="B207" s="14" t="inlineStr">
        <is>
          <t>UI, theme and responsive</t>
        </is>
      </c>
      <c r="C207" s="14" t="inlineStr">
        <is>
          <t>Keyboard navigation</t>
        </is>
      </c>
      <c r="D207" s="14" t="inlineStr">
        <is>
          <t>Accessibility</t>
        </is>
      </c>
      <c r="E207" s="14" t="inlineStr">
        <is>
          <t>Low</t>
        </is>
      </c>
      <c r="F207" s="14" t="inlineStr">
        <is>
          <t>-</t>
        </is>
      </c>
      <c r="G207" s="14" t="inlineStr">
        <is>
          <t>1. Tab through login and tables</t>
        </is>
      </c>
      <c r="H207" s="14" t="inlineStr">
        <is>
          <t>-</t>
        </is>
      </c>
      <c r="I207" s="14" t="inlineStr">
        <is>
          <t>Focus visible; Enter activates buttons/bars.</t>
        </is>
      </c>
      <c r="J207" s="15" t="inlineStr">
        <is>
          <t>Not Run</t>
        </is>
      </c>
      <c r="K207" s="15" t="n"/>
      <c r="L207" s="15" t="n"/>
      <c r="M207" s="16" t="n"/>
      <c r="N207" s="15" t="n"/>
    </row>
    <row r="208">
      <c r="A208" s="13" t="inlineStr">
        <is>
          <t>UI-14</t>
        </is>
      </c>
      <c r="B208" s="14" t="inlineStr">
        <is>
          <t>UI, theme and responsive</t>
        </is>
      </c>
      <c r="C208" s="14" t="inlineStr">
        <is>
          <t>Text contrast</t>
        </is>
      </c>
      <c r="D208" s="14" t="inlineStr">
        <is>
          <t>Accessibility</t>
        </is>
      </c>
      <c r="E208" s="14" t="inlineStr">
        <is>
          <t>Low</t>
        </is>
      </c>
      <c r="F208" s="14" t="inlineStr">
        <is>
          <t>-</t>
        </is>
      </c>
      <c r="G208" s="14" t="inlineStr">
        <is>
          <t>1. Check light and dark themes</t>
        </is>
      </c>
      <c r="H208" s="14" t="inlineStr">
        <is>
          <t>-</t>
        </is>
      </c>
      <c r="I208" s="14" t="inlineStr">
        <is>
          <t>Text readable on all coloured tiles and tags.</t>
        </is>
      </c>
      <c r="J208" s="15" t="inlineStr">
        <is>
          <t>Not Run</t>
        </is>
      </c>
      <c r="K208" s="15" t="n"/>
      <c r="L208" s="15" t="n"/>
      <c r="M208" s="16" t="n"/>
      <c r="N208" s="15" t="n"/>
    </row>
    <row r="209">
      <c r="A209" s="13" t="inlineStr">
        <is>
          <t>UI-15</t>
        </is>
      </c>
      <c r="B209" s="14" t="inlineStr">
        <is>
          <t>UI, theme and responsive</t>
        </is>
      </c>
      <c r="C209" s="14" t="inlineStr">
        <is>
          <t>Unknown route</t>
        </is>
      </c>
      <c r="D209" s="14" t="inlineStr">
        <is>
          <t>Negative</t>
        </is>
      </c>
      <c r="E209" s="14" t="inlineStr">
        <is>
          <t>Low</t>
        </is>
      </c>
      <c r="F209" s="14" t="inlineStr">
        <is>
          <t>-</t>
        </is>
      </c>
      <c r="G209" s="14" t="inlineStr">
        <is>
          <t>1. Open /does-not-exist</t>
        </is>
      </c>
      <c r="H209" s="14" t="inlineStr">
        <is>
          <t>-</t>
        </is>
      </c>
      <c r="I209" s="14" t="inlineStr">
        <is>
          <t>Redirects or shows a sensible page (note behaviour).</t>
        </is>
      </c>
      <c r="J209" s="15" t="inlineStr">
        <is>
          <t>Not Run</t>
        </is>
      </c>
      <c r="K209" s="15" t="n"/>
      <c r="L209" s="15" t="n"/>
      <c r="M209" s="16" t="n"/>
      <c r="N209" s="15" t="n"/>
    </row>
    <row r="210">
      <c r="A210" s="13" t="inlineStr">
        <is>
          <t>UI-16</t>
        </is>
      </c>
      <c r="B210" s="14" t="inlineStr">
        <is>
          <t>UI, theme and responsive</t>
        </is>
      </c>
      <c r="C210" s="14" t="inlineStr">
        <is>
          <t>Empty states on every list page</t>
        </is>
      </c>
      <c r="D210" s="14" t="inlineStr">
        <is>
          <t>UI</t>
        </is>
      </c>
      <c r="E210" s="14" t="inlineStr">
        <is>
          <t>Low</t>
        </is>
      </c>
      <c r="F210" s="14" t="inlineStr">
        <is>
          <t>Fresh database</t>
        </is>
      </c>
      <c r="G210" s="14" t="inlineStr">
        <is>
          <t>1. Visit each page</t>
        </is>
      </c>
      <c r="H210" s="14" t="inlineStr">
        <is>
          <t>-</t>
        </is>
      </c>
      <c r="I210" s="14" t="inlineStr">
        <is>
          <t>Friendly empty messages; no errors in console.</t>
        </is>
      </c>
      <c r="J210" s="15" t="inlineStr">
        <is>
          <t>Not Run</t>
        </is>
      </c>
      <c r="K210" s="15" t="n"/>
      <c r="L210" s="15" t="n"/>
      <c r="M210" s="16" t="n"/>
      <c r="N210" s="15" t="n"/>
    </row>
    <row r="211">
      <c r="A211" s="13" t="inlineStr">
        <is>
          <t>UI-17</t>
        </is>
      </c>
      <c r="B211" s="14" t="inlineStr">
        <is>
          <t>UI, theme and responsive</t>
        </is>
      </c>
      <c r="C211" s="14" t="inlineStr">
        <is>
          <t>Long filename display</t>
        </is>
      </c>
      <c r="D211" s="14" t="inlineStr">
        <is>
          <t>Edge</t>
        </is>
      </c>
      <c r="E211" s="14" t="inlineStr">
        <is>
          <t>Low</t>
        </is>
      </c>
      <c r="F211" s="14" t="inlineStr">
        <is>
          <t>-</t>
        </is>
      </c>
      <c r="G211" s="14" t="inlineStr">
        <is>
          <t>1. Upload a file with a 100 character name</t>
        </is>
      </c>
      <c r="H211" s="14" t="inlineStr">
        <is>
          <t>-</t>
        </is>
      </c>
      <c r="I211" s="14" t="inlineStr">
        <is>
          <t>Text wraps/truncates without breaking layout.</t>
        </is>
      </c>
      <c r="J211" s="15" t="inlineStr">
        <is>
          <t>Not Run</t>
        </is>
      </c>
      <c r="K211" s="15" t="n"/>
      <c r="L211" s="15" t="n"/>
      <c r="M211" s="16" t="n"/>
      <c r="N211" s="15" t="n"/>
    </row>
    <row r="212">
      <c r="A212" s="13" t="inlineStr">
        <is>
          <t>UI-18</t>
        </is>
      </c>
      <c r="B212" s="14" t="inlineStr">
        <is>
          <t>UI, theme and responsive</t>
        </is>
      </c>
      <c r="C212" s="14" t="inlineStr">
        <is>
          <t>No console errors</t>
        </is>
      </c>
      <c r="D212" s="14" t="inlineStr">
        <is>
          <t>UI</t>
        </is>
      </c>
      <c r="E212" s="14" t="inlineStr">
        <is>
          <t>Medium</t>
        </is>
      </c>
      <c r="F212" s="14" t="inlineStr">
        <is>
          <t>-</t>
        </is>
      </c>
      <c r="G212" s="14" t="inlineStr">
        <is>
          <t>1. Open DevTools console while using all pages</t>
        </is>
      </c>
      <c r="H212" s="14" t="inlineStr">
        <is>
          <t>-</t>
        </is>
      </c>
      <c r="I212" s="14" t="inlineStr">
        <is>
          <t>No red errors during normal use.</t>
        </is>
      </c>
      <c r="J212" s="15" t="inlineStr">
        <is>
          <t>Not Run</t>
        </is>
      </c>
      <c r="K212" s="15" t="n"/>
      <c r="L212" s="15" t="n"/>
      <c r="M212" s="16" t="n"/>
      <c r="N212" s="15" t="n"/>
    </row>
    <row r="213">
      <c r="A213" s="13" t="inlineStr">
        <is>
          <t>SEC-01</t>
        </is>
      </c>
      <c r="B213" s="14" t="inlineStr">
        <is>
          <t>Security</t>
        </is>
      </c>
      <c r="C213" s="14" t="inlineStr">
        <is>
          <t>Session cookie is HttpOnly</t>
        </is>
      </c>
      <c r="D213" s="14" t="inlineStr">
        <is>
          <t>Security</t>
        </is>
      </c>
      <c r="E213" s="14" t="inlineStr">
        <is>
          <t>High</t>
        </is>
      </c>
      <c r="F213" s="14" t="inlineStr">
        <is>
          <t>Logged in</t>
        </is>
      </c>
      <c r="G213" s="14" t="inlineStr">
        <is>
          <t>1. In DevTools console run document.cookie</t>
        </is>
      </c>
      <c r="H213" s="14" t="inlineStr">
        <is>
          <t>-</t>
        </is>
      </c>
      <c r="I213" s="14" t="inlineStr">
        <is>
          <t>Session cookie is not visible to JavaScript.</t>
        </is>
      </c>
      <c r="J213" s="15" t="inlineStr">
        <is>
          <t>Not Run</t>
        </is>
      </c>
      <c r="K213" s="15" t="n"/>
      <c r="L213" s="15" t="n"/>
      <c r="M213" s="16" t="n"/>
      <c r="N213" s="15" t="n"/>
    </row>
    <row r="214">
      <c r="A214" s="13" t="inlineStr">
        <is>
          <t>SEC-02</t>
        </is>
      </c>
      <c r="B214" s="14" t="inlineStr">
        <is>
          <t>Security</t>
        </is>
      </c>
      <c r="C214" s="14" t="inlineStr">
        <is>
          <t>Tampered session cookie</t>
        </is>
      </c>
      <c r="D214" s="14" t="inlineStr">
        <is>
          <t>Security</t>
        </is>
      </c>
      <c r="E214" s="14" t="inlineStr">
        <is>
          <t>High</t>
        </is>
      </c>
      <c r="F214" s="14" t="inlineStr">
        <is>
          <t>-</t>
        </is>
      </c>
      <c r="G214" s="14" t="inlineStr">
        <is>
          <t>1. Edit the cookie value
2. Reload</t>
        </is>
      </c>
      <c r="H214" s="14" t="inlineStr">
        <is>
          <t>-</t>
        </is>
      </c>
      <c r="I214" s="14" t="inlineStr">
        <is>
          <t>Treated as logged out (401).</t>
        </is>
      </c>
      <c r="J214" s="15" t="inlineStr">
        <is>
          <t>Not Run</t>
        </is>
      </c>
      <c r="K214" s="15" t="n"/>
      <c r="L214" s="15" t="n"/>
      <c r="M214" s="16" t="n"/>
      <c r="N214" s="15" t="n"/>
    </row>
    <row r="215">
      <c r="A215" s="13" t="inlineStr">
        <is>
          <t>SEC-03</t>
        </is>
      </c>
      <c r="B215" s="14" t="inlineStr">
        <is>
          <t>Security</t>
        </is>
      </c>
      <c r="C215" s="14" t="inlineStr">
        <is>
          <t>API without login</t>
        </is>
      </c>
      <c r="D215" s="14" t="inlineStr">
        <is>
          <t>Security</t>
        </is>
      </c>
      <c r="E215" s="14" t="inlineStr">
        <is>
          <t>High</t>
        </is>
      </c>
      <c r="F215" s="14" t="inlineStr">
        <is>
          <t>Logged out</t>
        </is>
      </c>
      <c r="G215" s="14" t="inlineStr">
        <is>
          <t>1. Call /api/reconcile/runs, /api/admin/users</t>
        </is>
      </c>
      <c r="H215" s="14" t="inlineStr">
        <is>
          <t>-</t>
        </is>
      </c>
      <c r="I215" s="14" t="inlineStr">
        <is>
          <t>401 Not logged in.</t>
        </is>
      </c>
      <c r="J215" s="15" t="inlineStr">
        <is>
          <t>Not Run</t>
        </is>
      </c>
      <c r="K215" s="15" t="n"/>
      <c r="L215" s="15" t="n"/>
      <c r="M215" s="16" t="n"/>
      <c r="N215" s="15" t="n"/>
    </row>
    <row r="216">
      <c r="A216" s="13" t="inlineStr">
        <is>
          <t>SEC-04</t>
        </is>
      </c>
      <c r="B216" s="14" t="inlineStr">
        <is>
          <t>Security</t>
        </is>
      </c>
      <c r="C216" s="14" t="inlineStr">
        <is>
          <t>CORS restricted</t>
        </is>
      </c>
      <c r="D216" s="14" t="inlineStr">
        <is>
          <t>Security</t>
        </is>
      </c>
      <c r="E216" s="14" t="inlineStr">
        <is>
          <t>Medium</t>
        </is>
      </c>
      <c r="F216" s="14" t="inlineStr">
        <is>
          <t>-</t>
        </is>
      </c>
      <c r="G216" s="14" t="inlineStr">
        <is>
          <t>1. Call the API from another origin</t>
        </is>
      </c>
      <c r="H216" s="14" t="inlineStr">
        <is>
          <t>-</t>
        </is>
      </c>
      <c r="I216" s="14" t="inlineStr">
        <is>
          <t>Blocked; only the configured client origin is allowed.</t>
        </is>
      </c>
      <c r="J216" s="15" t="inlineStr">
        <is>
          <t>Not Run</t>
        </is>
      </c>
      <c r="K216" s="15" t="n"/>
      <c r="L216" s="15" t="n"/>
      <c r="M216" s="16" t="n"/>
      <c r="N216" s="15" t="n"/>
    </row>
    <row r="217">
      <c r="A217" s="13" t="inlineStr">
        <is>
          <t>SEC-05</t>
        </is>
      </c>
      <c r="B217" s="14" t="inlineStr">
        <is>
          <t>Security</t>
        </is>
      </c>
      <c r="C217" s="14" t="inlineStr">
        <is>
          <t>SQL injection in filters</t>
        </is>
      </c>
      <c r="D217" s="14" t="inlineStr">
        <is>
          <t>Security</t>
        </is>
      </c>
      <c r="E217" s="14" t="inlineStr">
        <is>
          <t>High</t>
        </is>
      </c>
      <c r="F217" s="14" t="inlineStr">
        <is>
          <t>-</t>
        </is>
      </c>
      <c r="G217" s="14" t="inlineStr">
        <is>
          <t>1. Try SQL text in AWB search and query strings</t>
        </is>
      </c>
      <c r="H217" s="14" t="inlineStr">
        <is>
          <t>' OR '1'='1</t>
        </is>
      </c>
      <c r="I217" s="14" t="inlineStr">
        <is>
          <t>No error, no extra data returned.</t>
        </is>
      </c>
      <c r="J217" s="15" t="inlineStr">
        <is>
          <t>Not Run</t>
        </is>
      </c>
      <c r="K217" s="15" t="n"/>
      <c r="L217" s="15" t="n"/>
      <c r="M217" s="16" t="n"/>
      <c r="N217" s="15" t="n"/>
    </row>
    <row r="218">
      <c r="A218" s="13" t="inlineStr">
        <is>
          <t>SEC-06</t>
        </is>
      </c>
      <c r="B218" s="14" t="inlineStr">
        <is>
          <t>Security</t>
        </is>
      </c>
      <c r="C218" s="14" t="inlineStr">
        <is>
          <t>XSS in text fields</t>
        </is>
      </c>
      <c r="D218" s="14" t="inlineStr">
        <is>
          <t>Security</t>
        </is>
      </c>
      <c r="E218" s="14" t="inlineStr">
        <is>
          <t>High</t>
        </is>
      </c>
      <c r="F218" s="14" t="inlineStr">
        <is>
          <t>-</t>
        </is>
      </c>
      <c r="G218" s="14" t="inlineStr">
        <is>
          <t>1. Use &lt;script&gt;alert(1)&lt;/script&gt; as filename / email</t>
        </is>
      </c>
      <c r="H218" s="14" t="inlineStr">
        <is>
          <t>-</t>
        </is>
      </c>
      <c r="I218" s="14" t="inlineStr">
        <is>
          <t>Displayed as plain text; no script runs.</t>
        </is>
      </c>
      <c r="J218" s="15" t="inlineStr">
        <is>
          <t>Not Run</t>
        </is>
      </c>
      <c r="K218" s="15" t="n"/>
      <c r="L218" s="15" t="n"/>
      <c r="M218" s="16" t="n"/>
      <c r="N218" s="15" t="n"/>
    </row>
    <row r="219">
      <c r="A219" s="13" t="inlineStr">
        <is>
          <t>SEC-07</t>
        </is>
      </c>
      <c r="B219" s="14" t="inlineStr">
        <is>
          <t>Security</t>
        </is>
      </c>
      <c r="C219" s="14" t="inlineStr">
        <is>
          <t>Role escalation attempt</t>
        </is>
      </c>
      <c r="D219" s="14" t="inlineStr">
        <is>
          <t>Security</t>
        </is>
      </c>
      <c r="E219" s="14" t="inlineStr">
        <is>
          <t>High</t>
        </is>
      </c>
      <c r="F219" s="14" t="inlineStr">
        <is>
          <t>Normal user cookie</t>
        </is>
      </c>
      <c r="G219" s="14" t="inlineStr">
        <is>
          <t>1. PATCH /api/admin/users/:id with role=admin</t>
        </is>
      </c>
      <c r="H219" s="14" t="inlineStr">
        <is>
          <t>-</t>
        </is>
      </c>
      <c r="I219" s="14" t="inlineStr">
        <is>
          <t>403; role unchanged.</t>
        </is>
      </c>
      <c r="J219" s="15" t="inlineStr">
        <is>
          <t>Not Run</t>
        </is>
      </c>
      <c r="K219" s="15" t="n"/>
      <c r="L219" s="15" t="n"/>
      <c r="M219" s="16" t="n"/>
      <c r="N219" s="15" t="n"/>
    </row>
    <row r="220">
      <c r="A220" s="13" t="inlineStr">
        <is>
          <t>SEC-08</t>
        </is>
      </c>
      <c r="B220" s="14" t="inlineStr">
        <is>
          <t>Security</t>
        </is>
      </c>
      <c r="C220" s="14" t="inlineStr">
        <is>
          <t>Passwords are hashed</t>
        </is>
      </c>
      <c r="D220" s="14" t="inlineStr">
        <is>
          <t>Security</t>
        </is>
      </c>
      <c r="E220" s="14" t="inlineStr">
        <is>
          <t>High</t>
        </is>
      </c>
      <c r="F220" s="14" t="inlineStr">
        <is>
          <t>DB access</t>
        </is>
      </c>
      <c r="G220" s="14" t="inlineStr">
        <is>
          <t>1. Look at users.password_hash</t>
        </is>
      </c>
      <c r="H220" s="14" t="inlineStr">
        <is>
          <t>-</t>
        </is>
      </c>
      <c r="I220" s="14" t="inlineStr">
        <is>
          <t>Stored as bcrypt hash, never plain text.</t>
        </is>
      </c>
      <c r="J220" s="15" t="inlineStr">
        <is>
          <t>Not Run</t>
        </is>
      </c>
      <c r="K220" s="15" t="n"/>
      <c r="L220" s="15" t="n"/>
      <c r="M220" s="16" t="n"/>
      <c r="N220" s="15" t="n"/>
    </row>
    <row r="221">
      <c r="A221" s="13" t="inlineStr">
        <is>
          <t>SEC-09</t>
        </is>
      </c>
      <c r="B221" s="14" t="inlineStr">
        <is>
          <t>Security</t>
        </is>
      </c>
      <c r="C221" s="14" t="inlineStr">
        <is>
          <t>Error messages do not leak details</t>
        </is>
      </c>
      <c r="D221" s="14" t="inlineStr">
        <is>
          <t>Security</t>
        </is>
      </c>
      <c r="E221" s="14" t="inlineStr">
        <is>
          <t>Medium</t>
        </is>
      </c>
      <c r="F221" s="14" t="inlineStr">
        <is>
          <t>-</t>
        </is>
      </c>
      <c r="G221" s="14" t="inlineStr">
        <is>
          <t>1. Trigger server errors</t>
        </is>
      </c>
      <c r="H221" s="14" t="inlineStr">
        <is>
          <t>-</t>
        </is>
      </c>
      <c r="I221" s="14" t="inlineStr">
        <is>
          <t>User sees a generic message; no stack traces.</t>
        </is>
      </c>
      <c r="J221" s="15" t="inlineStr">
        <is>
          <t>Not Run</t>
        </is>
      </c>
      <c r="K221" s="15" t="n"/>
      <c r="L221" s="15" t="n"/>
      <c r="M221" s="16" t="n"/>
      <c r="N221" s="15" t="n"/>
    </row>
    <row r="222">
      <c r="A222" s="13" t="inlineStr">
        <is>
          <t>SEC-10</t>
        </is>
      </c>
      <c r="B222" s="14" t="inlineStr">
        <is>
          <t>Security</t>
        </is>
      </c>
      <c r="C222" s="14" t="inlineStr">
        <is>
          <t>Upload size and type limits</t>
        </is>
      </c>
      <c r="D222" s="14" t="inlineStr">
        <is>
          <t>Security</t>
        </is>
      </c>
      <c r="E222" s="14" t="inlineStr">
        <is>
          <t>Medium</t>
        </is>
      </c>
      <c r="F222" s="14" t="inlineStr">
        <is>
          <t>-</t>
        </is>
      </c>
      <c r="G222" s="14" t="inlineStr">
        <is>
          <t>1. Upload a very large or non-Excel file</t>
        </is>
      </c>
      <c r="H222" s="14" t="inlineStr">
        <is>
          <t>-</t>
        </is>
      </c>
      <c r="I222" s="14" t="inlineStr">
        <is>
          <t>Rejected with a clear message; server stays up.</t>
        </is>
      </c>
      <c r="J222" s="15" t="inlineStr">
        <is>
          <t>Not Run</t>
        </is>
      </c>
      <c r="K222" s="15" t="n"/>
      <c r="L222" s="15" t="n"/>
      <c r="M222" s="16" t="n"/>
      <c r="N222" s="15" t="n"/>
    </row>
    <row r="223">
      <c r="A223" s="13" t="inlineStr">
        <is>
          <t>SEC-11</t>
        </is>
      </c>
      <c r="B223" s="14" t="inlineStr">
        <is>
          <t>Security</t>
        </is>
      </c>
      <c r="C223" s="14" t="inlineStr">
        <is>
          <t>Secrets not exposed to browser</t>
        </is>
      </c>
      <c r="D223" s="14" t="inlineStr">
        <is>
          <t>Security</t>
        </is>
      </c>
      <c r="E223" s="14" t="inlineStr">
        <is>
          <t>High</t>
        </is>
      </c>
      <c r="F223" s="14" t="inlineStr">
        <is>
          <t>-</t>
        </is>
      </c>
      <c r="G223" s="14" t="inlineStr">
        <is>
          <t>1. Search the JS bundle and network responses for keys/passwords</t>
        </is>
      </c>
      <c r="H223" s="14" t="inlineStr">
        <is>
          <t>-</t>
        </is>
      </c>
      <c r="I223" s="14" t="inlineStr">
        <is>
          <t>No SMTP, DB, JWT or Kwikship secrets present.</t>
        </is>
      </c>
      <c r="J223" s="15" t="inlineStr">
        <is>
          <t>Not Run</t>
        </is>
      </c>
      <c r="K223" s="15" t="n"/>
      <c r="L223" s="15" t="n"/>
      <c r="M223" s="16" t="n"/>
      <c r="N223" s="15" t="n"/>
    </row>
    <row r="224">
      <c r="A224" s="13" t="inlineStr">
        <is>
          <t>REL-01</t>
        </is>
      </c>
      <c r="B224" s="14" t="inlineStr">
        <is>
          <t>Reliability &amp; data integrity</t>
        </is>
      </c>
      <c r="C224" s="14" t="inlineStr">
        <is>
          <t>Backend restart during use</t>
        </is>
      </c>
      <c r="D224" s="14" t="inlineStr">
        <is>
          <t>Reliability</t>
        </is>
      </c>
      <c r="E224" s="14" t="inlineStr">
        <is>
          <t>Medium</t>
        </is>
      </c>
      <c r="F224" s="14" t="inlineStr">
        <is>
          <t>-</t>
        </is>
      </c>
      <c r="G224" s="14" t="inlineStr">
        <is>
          <t>1. Restart the API
2. Continue using the app</t>
        </is>
      </c>
      <c r="H224" s="14" t="inlineStr">
        <is>
          <t>-</t>
        </is>
      </c>
      <c r="I224" s="14" t="inlineStr">
        <is>
          <t>Session still valid (same secret); app recovers without manual steps.</t>
        </is>
      </c>
      <c r="J224" s="15" t="inlineStr">
        <is>
          <t>Not Run</t>
        </is>
      </c>
      <c r="K224" s="15" t="n"/>
      <c r="L224" s="15" t="n"/>
      <c r="M224" s="16" t="n"/>
      <c r="N224" s="15" t="n"/>
    </row>
    <row r="225">
      <c r="A225" s="13" t="inlineStr">
        <is>
          <t>REL-02</t>
        </is>
      </c>
      <c r="B225" s="14" t="inlineStr">
        <is>
          <t>Reliability &amp; data integrity</t>
        </is>
      </c>
      <c r="C225" s="14" t="inlineStr">
        <is>
          <t>Unhandled error does not crash server</t>
        </is>
      </c>
      <c r="D225" s="14" t="inlineStr">
        <is>
          <t>Reliability</t>
        </is>
      </c>
      <c r="E225" s="14" t="inlineStr">
        <is>
          <t>High</t>
        </is>
      </c>
      <c r="F225" s="14" t="inlineStr">
        <is>
          <t>-</t>
        </is>
      </c>
      <c r="G225" s="14" t="inlineStr">
        <is>
          <t>1. Trigger an SMTP/DB failure</t>
        </is>
      </c>
      <c r="H225" s="14" t="inlineStr">
        <is>
          <t>-</t>
        </is>
      </c>
      <c r="I225" s="14" t="inlineStr">
        <is>
          <t>Server logs the error and keeps running.</t>
        </is>
      </c>
      <c r="J225" s="15" t="inlineStr">
        <is>
          <t>Not Run</t>
        </is>
      </c>
      <c r="K225" s="15" t="n"/>
      <c r="L225" s="15" t="n"/>
      <c r="M225" s="16" t="n"/>
      <c r="N225" s="15" t="n"/>
    </row>
    <row r="226">
      <c r="A226" s="13" t="inlineStr">
        <is>
          <t>REL-03</t>
        </is>
      </c>
      <c r="B226" s="14" t="inlineStr">
        <is>
          <t>Reliability &amp; data integrity</t>
        </is>
      </c>
      <c r="C226" s="14" t="inlineStr">
        <is>
          <t>Database unavailable</t>
        </is>
      </c>
      <c r="D226" s="14" t="inlineStr">
        <is>
          <t>Reliability</t>
        </is>
      </c>
      <c r="E226" s="14" t="inlineStr">
        <is>
          <t>Medium</t>
        </is>
      </c>
      <c r="F226" s="14" t="inlineStr">
        <is>
          <t>-</t>
        </is>
      </c>
      <c r="G226" s="14" t="inlineStr">
        <is>
          <t>1. Stop Postgres and open pages</t>
        </is>
      </c>
      <c r="H226" s="14" t="inlineStr">
        <is>
          <t>-</t>
        </is>
      </c>
      <c r="I226" s="14" t="inlineStr">
        <is>
          <t>Friendly error messages; recovers when DB returns.</t>
        </is>
      </c>
      <c r="J226" s="15" t="inlineStr">
        <is>
          <t>Not Run</t>
        </is>
      </c>
      <c r="K226" s="15" t="n"/>
      <c r="L226" s="15" t="n"/>
      <c r="M226" s="16" t="n"/>
      <c r="N226" s="15" t="n"/>
    </row>
    <row r="227">
      <c r="A227" s="13" t="inlineStr">
        <is>
          <t>REL-04</t>
        </is>
      </c>
      <c r="B227" s="14" t="inlineStr">
        <is>
          <t>Reliability &amp; data integrity</t>
        </is>
      </c>
      <c r="C227" s="14" t="inlineStr">
        <is>
          <t>Two users at the same time</t>
        </is>
      </c>
      <c r="D227" s="14" t="inlineStr">
        <is>
          <t>Reliability</t>
        </is>
      </c>
      <c r="E227" s="14" t="inlineStr">
        <is>
          <t>Medium</t>
        </is>
      </c>
      <c r="F227" s="14" t="inlineStr">
        <is>
          <t>-</t>
        </is>
      </c>
      <c r="G227" s="14" t="inlineStr">
        <is>
          <t>1. Two users reconcile / upload at once</t>
        </is>
      </c>
      <c r="H227" s="14" t="inlineStr">
        <is>
          <t>-</t>
        </is>
      </c>
      <c r="I227" s="14" t="inlineStr">
        <is>
          <t>No data mix-ups or crashes.</t>
        </is>
      </c>
      <c r="J227" s="15" t="inlineStr">
        <is>
          <t>Not Run</t>
        </is>
      </c>
      <c r="K227" s="15" t="n"/>
      <c r="L227" s="15" t="n"/>
      <c r="M227" s="16" t="n"/>
      <c r="N227" s="15" t="n"/>
    </row>
    <row r="228">
      <c r="A228" s="13" t="inlineStr">
        <is>
          <t>REL-05</t>
        </is>
      </c>
      <c r="B228" s="14" t="inlineStr">
        <is>
          <t>Reliability &amp; data integrity</t>
        </is>
      </c>
      <c r="C228" s="14" t="inlineStr">
        <is>
          <t>Deleting a run cascades results only</t>
        </is>
      </c>
      <c r="D228" s="14" t="inlineStr">
        <is>
          <t>Data</t>
        </is>
      </c>
      <c r="E228" s="14" t="inlineStr">
        <is>
          <t>Medium</t>
        </is>
      </c>
      <c r="F228" s="14" t="inlineStr">
        <is>
          <t>-</t>
        </is>
      </c>
      <c r="G228" s="14" t="inlineStr">
        <is>
          <t>1. Delete a run</t>
        </is>
      </c>
      <c r="H228" s="14" t="inlineStr">
        <is>
          <t>-</t>
        </is>
      </c>
      <c r="I228" s="14" t="inlineStr">
        <is>
          <t>Its results are gone; MIS upload and shipments remain.</t>
        </is>
      </c>
      <c r="J228" s="15" t="inlineStr">
        <is>
          <t>Not Run</t>
        </is>
      </c>
      <c r="K228" s="15" t="n"/>
      <c r="L228" s="15" t="n"/>
      <c r="M228" s="16" t="n"/>
      <c r="N228" s="15" t="n"/>
    </row>
    <row r="229">
      <c r="A229" s="13" t="inlineStr">
        <is>
          <t>REL-06</t>
        </is>
      </c>
      <c r="B229" s="14" t="inlineStr">
        <is>
          <t>Reliability &amp; data integrity</t>
        </is>
      </c>
      <c r="C229" s="14" t="inlineStr">
        <is>
          <t>Uploads persist after restart</t>
        </is>
      </c>
      <c r="D229" s="14" t="inlineStr">
        <is>
          <t>Data</t>
        </is>
      </c>
      <c r="E229" s="14" t="inlineStr">
        <is>
          <t>Low</t>
        </is>
      </c>
      <c r="F229" s="14" t="inlineStr">
        <is>
          <t>-</t>
        </is>
      </c>
      <c r="G229" s="14" t="inlineStr">
        <is>
          <t>1. Restart the backend and DB</t>
        </is>
      </c>
      <c r="H229" s="14" t="inlineStr">
        <is>
          <t>-</t>
        </is>
      </c>
      <c r="I229" s="14" t="inlineStr">
        <is>
          <t>Uploads, runs, rate card and maps are still there.</t>
        </is>
      </c>
      <c r="J229" s="15" t="inlineStr">
        <is>
          <t>Not Run</t>
        </is>
      </c>
      <c r="K229" s="15" t="n"/>
      <c r="L229" s="15" t="n"/>
      <c r="M229" s="16" t="n"/>
      <c r="N229" s="15" t="n"/>
    </row>
    <row r="230">
      <c r="A230" s="13" t="inlineStr">
        <is>
          <t>REL-07</t>
        </is>
      </c>
      <c r="B230" s="14" t="inlineStr">
        <is>
          <t>Reliability &amp; data integrity</t>
        </is>
      </c>
      <c r="C230" s="14" t="inlineStr">
        <is>
          <t>Timezone display</t>
        </is>
      </c>
      <c r="D230" s="14" t="inlineStr">
        <is>
          <t>Data</t>
        </is>
      </c>
      <c r="E230" s="14" t="inlineStr">
        <is>
          <t>Low</t>
        </is>
      </c>
      <c r="F230" s="14" t="inlineStr">
        <is>
          <t>-</t>
        </is>
      </c>
      <c r="G230" s="14" t="inlineStr">
        <is>
          <t>1. Compare displayed times with actual time</t>
        </is>
      </c>
      <c r="H230" s="14" t="inlineStr">
        <is>
          <t>-</t>
        </is>
      </c>
      <c r="I230" s="14" t="inlineStr">
        <is>
          <t>Dates/times shown in the user's local time.</t>
        </is>
      </c>
      <c r="J230" s="15" t="inlineStr">
        <is>
          <t>Not Run</t>
        </is>
      </c>
      <c r="K230" s="15" t="n"/>
      <c r="L230" s="15" t="n"/>
      <c r="M230" s="16" t="n"/>
      <c r="N230" s="15" t="n"/>
    </row>
    <row r="231">
      <c r="A231" s="13" t="inlineStr">
        <is>
          <t>REL-08</t>
        </is>
      </c>
      <c r="B231" s="14" t="inlineStr">
        <is>
          <t>Reliability &amp; data integrity</t>
        </is>
      </c>
      <c r="C231" s="14" t="inlineStr">
        <is>
          <t>Indian number formatting</t>
        </is>
      </c>
      <c r="D231" s="14" t="inlineStr">
        <is>
          <t>UI</t>
        </is>
      </c>
      <c r="E231" s="14" t="inlineStr">
        <is>
          <t>Low</t>
        </is>
      </c>
      <c r="F231" s="14" t="inlineStr">
        <is>
          <t>-</t>
        </is>
      </c>
      <c r="G231" s="14" t="inlineStr">
        <is>
          <t>1. Check large amounts</t>
        </is>
      </c>
      <c r="H231" s="14" t="inlineStr">
        <is>
          <t>-</t>
        </is>
      </c>
      <c r="I231" s="14" t="inlineStr">
        <is>
          <t>Formatted like 44,859.12 with the rupee sign.</t>
        </is>
      </c>
      <c r="J231" s="15" t="inlineStr">
        <is>
          <t>Not Run</t>
        </is>
      </c>
      <c r="K231" s="15" t="n"/>
      <c r="L231" s="15" t="n"/>
      <c r="M231" s="16" t="n"/>
      <c r="N231" s="15" t="n"/>
    </row>
  </sheetData>
  <autoFilter ref="A1:N231"/>
  <conditionalFormatting sqref="J2:J23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E2:E231">
    <cfRule type="cellIs" priority="4" operator="equal" dxfId="3">
      <formula>"High"</formula>
    </cfRule>
  </conditionalFormatting>
  <dataValidations count="1">
    <dataValidation sqref="J2:J231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2" customWidth="1" min="4" max="4"/>
    <col width="7" customWidth="1" min="5" max="5"/>
    <col width="10" customWidth="1" min="6" max="6"/>
    <col width="11" customWidth="1" min="7" max="7"/>
    <col width="10" customWidth="1" min="8" max="8"/>
    <col width="14" customWidth="1" min="9" max="9"/>
    <col width="9" customWidth="1" min="10" max="10"/>
    <col width="9" customWidth="1" min="11" max="11"/>
    <col width="9" customWidth="1" min="12" max="12"/>
    <col width="8" customWidth="1" min="13" max="13"/>
    <col width="7" customWidth="1" min="14" max="14"/>
    <col width="11" customWidth="1" min="15" max="15"/>
    <col width="11" customWidth="1" min="16" max="16"/>
    <col width="10" customWidth="1" min="17" max="17"/>
    <col width="11" customWidth="1" min="18" max="18"/>
    <col width="14" customWidth="1" min="19" max="19"/>
    <col width="14" customWidth="1" min="20" max="20"/>
    <col width="11" customWidth="1" min="21" max="21"/>
    <col width="9" customWidth="1" min="22" max="22"/>
  </cols>
  <sheetData>
    <row r="1">
      <c r="A1" s="4" t="inlineStr">
        <is>
          <t>Freight calculation worked examples</t>
        </is>
      </c>
    </row>
    <row r="2">
      <c r="A2" s="12" t="inlineStr">
        <is>
          <t>Rules: slabs = ROUNDUP(weight / 0.5); forward = slabs x rate; RTO adds slabs x RTO rate; COD = MAX(flat, % x amount) only for COD and not RTO; total = gross x (1 + GST).</t>
        </is>
      </c>
    </row>
    <row r="3">
      <c r="A3" s="10" t="inlineStr">
        <is>
          <t>GST rate</t>
        </is>
      </c>
      <c r="B3" s="17" t="n">
        <v>0.18</v>
      </c>
      <c r="D3" s="3" t="inlineStr">
        <is>
          <t>Rates (blue) are from Schedule_B_Commercials_Pricing.xlsx as loaded in the app on 13-Sep-2026. If you upload a new rate card, update the blue cells. Bluedart RTO rates were not part of the sample, so no Bluedart RTO case is included.</t>
        </is>
      </c>
    </row>
    <row r="4">
      <c r="A4" s="10" t="inlineStr">
        <is>
          <t>Tolerance (Rs)</t>
        </is>
      </c>
      <c r="B4" s="18" t="n">
        <v>1</v>
      </c>
    </row>
    <row r="6" ht="42" customHeight="1">
      <c r="A6" s="5" t="inlineStr">
        <is>
          <t>Case ID</t>
        </is>
      </c>
      <c r="B6" s="5" t="inlineStr">
        <is>
          <t>Scenario</t>
        </is>
      </c>
      <c r="C6" s="5" t="inlineStr">
        <is>
          <t>Mode</t>
        </is>
      </c>
      <c r="D6" s="5" t="inlineStr">
        <is>
          <t>Courier group</t>
        </is>
      </c>
      <c r="E6" s="5" t="inlineStr">
        <is>
          <t>Zone</t>
        </is>
      </c>
      <c r="F6" s="5" t="inlineStr">
        <is>
          <t>Weight (kg)</t>
        </is>
      </c>
      <c r="G6" s="5" t="inlineStr">
        <is>
          <t>Outcome</t>
        </is>
      </c>
      <c r="H6" s="5" t="inlineStr">
        <is>
          <t>Payment</t>
        </is>
      </c>
      <c r="I6" s="5" t="inlineStr">
        <is>
          <t>Collectable amount (Rs)</t>
        </is>
      </c>
      <c r="J6" s="5" t="inlineStr">
        <is>
          <t>Forward rate</t>
        </is>
      </c>
      <c r="K6" s="5" t="inlineStr">
        <is>
          <t>RTO rate</t>
        </is>
      </c>
      <c r="L6" s="5" t="inlineStr">
        <is>
          <t>COD flat</t>
        </is>
      </c>
      <c r="M6" s="5" t="inlineStr">
        <is>
          <t>COD %</t>
        </is>
      </c>
      <c r="N6" s="5" t="inlineStr">
        <is>
          <t>Slabs</t>
        </is>
      </c>
      <c r="O6" s="5" t="inlineStr">
        <is>
          <t>Forward freight</t>
        </is>
      </c>
      <c r="P6" s="5" t="inlineStr">
        <is>
          <t>RTO freight</t>
        </is>
      </c>
      <c r="Q6" s="5" t="inlineStr">
        <is>
          <t>COD charge</t>
        </is>
      </c>
      <c r="R6" s="5" t="inlineStr">
        <is>
          <t>Gross freight</t>
        </is>
      </c>
      <c r="S6" s="5" t="inlineStr">
        <is>
          <t>Expected total (with GST)</t>
        </is>
      </c>
      <c r="T6" s="5" t="inlineStr">
        <is>
          <t>App total (you type)</t>
        </is>
      </c>
      <c r="U6" s="5" t="inlineStr">
        <is>
          <t>Difference</t>
        </is>
      </c>
      <c r="V6" s="5" t="inlineStr">
        <is>
          <t>Result</t>
        </is>
      </c>
    </row>
    <row r="7">
      <c r="A7" s="14" t="inlineStr">
        <is>
          <t>CALC-01</t>
        </is>
      </c>
      <c r="B7" s="14" t="inlineStr">
        <is>
          <t>Surface A, 0.5 kg, prepaid delivered</t>
        </is>
      </c>
      <c r="C7" s="14" t="inlineStr">
        <is>
          <t>SURFACE</t>
        </is>
      </c>
      <c r="D7" s="14" t="inlineStr">
        <is>
          <t>ALL</t>
        </is>
      </c>
      <c r="E7" s="14" t="inlineStr">
        <is>
          <t>A</t>
        </is>
      </c>
      <c r="F7" s="19" t="n">
        <v>0.5</v>
      </c>
      <c r="G7" s="19" t="inlineStr">
        <is>
          <t>Delivered</t>
        </is>
      </c>
      <c r="H7" s="19" t="inlineStr">
        <is>
          <t>PREPAID</t>
        </is>
      </c>
      <c r="I7" s="19" t="n">
        <v>0</v>
      </c>
      <c r="J7" s="19" t="n">
        <v>20</v>
      </c>
      <c r="K7" s="19" t="n">
        <v>18</v>
      </c>
      <c r="L7" s="19" t="n">
        <v>15</v>
      </c>
      <c r="M7" s="20" t="n">
        <v>0.011</v>
      </c>
      <c r="N7" s="6">
        <f>ROUNDUP(F7/0.5,0)</f>
        <v/>
      </c>
      <c r="O7" s="21">
        <f>N7*J7</f>
        <v/>
      </c>
      <c r="P7" s="21">
        <f>IF(G7="RTO",N7*K7,0)</f>
        <v/>
      </c>
      <c r="Q7" s="21">
        <f>IF(AND(H7="COD",G7&lt;&gt;"RTO"),MAX(L7,M7*I7),0)</f>
        <v/>
      </c>
      <c r="R7" s="21">
        <f>O7+P7+Q7</f>
        <v/>
      </c>
      <c r="S7" s="22">
        <f>ROUND(R7*(1+$B$3),2)</f>
        <v/>
      </c>
      <c r="T7" s="23" t="n"/>
      <c r="U7" s="21">
        <f>IF(T7="","",ROUND(T7-S7,2))</f>
        <v/>
      </c>
      <c r="V7" s="6">
        <f>IF(T7="","",IF(ABS(U7)&lt;=$B$4,"PASS","FAIL"))</f>
        <v/>
      </c>
    </row>
    <row r="8">
      <c r="A8" s="14" t="inlineStr">
        <is>
          <t>CALC-02</t>
        </is>
      </c>
      <c r="B8" s="14" t="inlineStr">
        <is>
          <t>Surface A, 0.6 kg -&gt; 2 slabs</t>
        </is>
      </c>
      <c r="C8" s="14" t="inlineStr">
        <is>
          <t>SURFACE</t>
        </is>
      </c>
      <c r="D8" s="14" t="inlineStr">
        <is>
          <t>ALL</t>
        </is>
      </c>
      <c r="E8" s="14" t="inlineStr">
        <is>
          <t>A</t>
        </is>
      </c>
      <c r="F8" s="19" t="n">
        <v>0.6</v>
      </c>
      <c r="G8" s="19" t="inlineStr">
        <is>
          <t>Delivered</t>
        </is>
      </c>
      <c r="H8" s="19" t="inlineStr">
        <is>
          <t>PREPAID</t>
        </is>
      </c>
      <c r="I8" s="19" t="n">
        <v>0</v>
      </c>
      <c r="J8" s="19" t="n">
        <v>20</v>
      </c>
      <c r="K8" s="19" t="n">
        <v>18</v>
      </c>
      <c r="L8" s="19" t="n">
        <v>15</v>
      </c>
      <c r="M8" s="20" t="n">
        <v>0.011</v>
      </c>
      <c r="N8" s="6">
        <f>ROUNDUP(F8/0.5,0)</f>
        <v/>
      </c>
      <c r="O8" s="21">
        <f>N8*J8</f>
        <v/>
      </c>
      <c r="P8" s="21">
        <f>IF(G8="RTO",N8*K8,0)</f>
        <v/>
      </c>
      <c r="Q8" s="21">
        <f>IF(AND(H8="COD",G8&lt;&gt;"RTO"),MAX(L8,M8*I8),0)</f>
        <v/>
      </c>
      <c r="R8" s="21">
        <f>O8+P8+Q8</f>
        <v/>
      </c>
      <c r="S8" s="22">
        <f>ROUND(R8*(1+$B$3),2)</f>
        <v/>
      </c>
      <c r="T8" s="23" t="n"/>
      <c r="U8" s="21">
        <f>IF(T8="","",ROUND(T8-S8,2))</f>
        <v/>
      </c>
      <c r="V8" s="6">
        <f>IF(T8="","",IF(ABS(U8)&lt;=$B$4,"PASS","FAIL"))</f>
        <v/>
      </c>
    </row>
    <row r="9">
      <c r="A9" s="14" t="inlineStr">
        <is>
          <t>CALC-03</t>
        </is>
      </c>
      <c r="B9" s="14" t="inlineStr">
        <is>
          <t>Surface B, exactly 1.0 kg -&gt; 2 slabs</t>
        </is>
      </c>
      <c r="C9" s="14" t="inlineStr">
        <is>
          <t>SURFACE</t>
        </is>
      </c>
      <c r="D9" s="14" t="inlineStr">
        <is>
          <t>ALL</t>
        </is>
      </c>
      <c r="E9" s="14" t="inlineStr">
        <is>
          <t>B</t>
        </is>
      </c>
      <c r="F9" s="19" t="n">
        <v>1</v>
      </c>
      <c r="G9" s="19" t="inlineStr">
        <is>
          <t>Delivered</t>
        </is>
      </c>
      <c r="H9" s="19" t="inlineStr">
        <is>
          <t>PREPAID</t>
        </is>
      </c>
      <c r="I9" s="19" t="n">
        <v>0</v>
      </c>
      <c r="J9" s="19" t="n">
        <v>22</v>
      </c>
      <c r="K9" s="19" t="n">
        <v>20</v>
      </c>
      <c r="L9" s="19" t="n">
        <v>15</v>
      </c>
      <c r="M9" s="20" t="n">
        <v>0.011</v>
      </c>
      <c r="N9" s="6">
        <f>ROUNDUP(F9/0.5,0)</f>
        <v/>
      </c>
      <c r="O9" s="21">
        <f>N9*J9</f>
        <v/>
      </c>
      <c r="P9" s="21">
        <f>IF(G9="RTO",N9*K9,0)</f>
        <v/>
      </c>
      <c r="Q9" s="21">
        <f>IF(AND(H9="COD",G9&lt;&gt;"RTO"),MAX(L9,M9*I9),0)</f>
        <v/>
      </c>
      <c r="R9" s="21">
        <f>O9+P9+Q9</f>
        <v/>
      </c>
      <c r="S9" s="22">
        <f>ROUND(R9*(1+$B$3),2)</f>
        <v/>
      </c>
      <c r="T9" s="23" t="n"/>
      <c r="U9" s="21">
        <f>IF(T9="","",ROUND(T9-S9,2))</f>
        <v/>
      </c>
      <c r="V9" s="6">
        <f>IF(T9="","",IF(ABS(U9)&lt;=$B$4,"PASS","FAIL"))</f>
        <v/>
      </c>
    </row>
    <row r="10">
      <c r="A10" s="14" t="inlineStr">
        <is>
          <t>CALC-04</t>
        </is>
      </c>
      <c r="B10" s="14" t="inlineStr">
        <is>
          <t>Surface C, 1.01 kg -&gt; 3 slabs</t>
        </is>
      </c>
      <c r="C10" s="14" t="inlineStr">
        <is>
          <t>SURFACE</t>
        </is>
      </c>
      <c r="D10" s="14" t="inlineStr">
        <is>
          <t>ALL</t>
        </is>
      </c>
      <c r="E10" s="14" t="inlineStr">
        <is>
          <t>C</t>
        </is>
      </c>
      <c r="F10" s="19" t="n">
        <v>1.01</v>
      </c>
      <c r="G10" s="19" t="inlineStr">
        <is>
          <t>Delivered</t>
        </is>
      </c>
      <c r="H10" s="19" t="inlineStr">
        <is>
          <t>PREPAID</t>
        </is>
      </c>
      <c r="I10" s="19" t="n">
        <v>0</v>
      </c>
      <c r="J10" s="19" t="n">
        <v>29</v>
      </c>
      <c r="K10" s="19" t="n">
        <v>27</v>
      </c>
      <c r="L10" s="19" t="n">
        <v>15</v>
      </c>
      <c r="M10" s="20" t="n">
        <v>0.011</v>
      </c>
      <c r="N10" s="6">
        <f>ROUNDUP(F10/0.5,0)</f>
        <v/>
      </c>
      <c r="O10" s="21">
        <f>N10*J10</f>
        <v/>
      </c>
      <c r="P10" s="21">
        <f>IF(G10="RTO",N10*K10,0)</f>
        <v/>
      </c>
      <c r="Q10" s="21">
        <f>IF(AND(H10="COD",G10&lt;&gt;"RTO"),MAX(L10,M10*I10),0)</f>
        <v/>
      </c>
      <c r="R10" s="21">
        <f>O10+P10+Q10</f>
        <v/>
      </c>
      <c r="S10" s="22">
        <f>ROUND(R10*(1+$B$3),2)</f>
        <v/>
      </c>
      <c r="T10" s="23" t="n"/>
      <c r="U10" s="21">
        <f>IF(T10="","",ROUND(T10-S10,2))</f>
        <v/>
      </c>
      <c r="V10" s="6">
        <f>IF(T10="","",IF(ABS(U10)&lt;=$B$4,"PASS","FAIL"))</f>
        <v/>
      </c>
    </row>
    <row r="11">
      <c r="A11" s="14" t="inlineStr">
        <is>
          <t>CALC-05</t>
        </is>
      </c>
      <c r="B11" s="14" t="inlineStr">
        <is>
          <t>Surface D, 0.1 kg (100 g) -&gt; 1 slab</t>
        </is>
      </c>
      <c r="C11" s="14" t="inlineStr">
        <is>
          <t>SURFACE</t>
        </is>
      </c>
      <c r="D11" s="14" t="inlineStr">
        <is>
          <t>ALL</t>
        </is>
      </c>
      <c r="E11" s="14" t="inlineStr">
        <is>
          <t>D</t>
        </is>
      </c>
      <c r="F11" s="19" t="n">
        <v>0.1</v>
      </c>
      <c r="G11" s="19" t="inlineStr">
        <is>
          <t>Delivered</t>
        </is>
      </c>
      <c r="H11" s="19" t="inlineStr">
        <is>
          <t>PREPAID</t>
        </is>
      </c>
      <c r="I11" s="19" t="n">
        <v>0</v>
      </c>
      <c r="J11" s="19" t="n">
        <v>33</v>
      </c>
      <c r="K11" s="19" t="n">
        <v>31</v>
      </c>
      <c r="L11" s="19" t="n">
        <v>15</v>
      </c>
      <c r="M11" s="20" t="n">
        <v>0.011</v>
      </c>
      <c r="N11" s="6">
        <f>ROUNDUP(F11/0.5,0)</f>
        <v/>
      </c>
      <c r="O11" s="21">
        <f>N11*J11</f>
        <v/>
      </c>
      <c r="P11" s="21">
        <f>IF(G11="RTO",N11*K11,0)</f>
        <v/>
      </c>
      <c r="Q11" s="21">
        <f>IF(AND(H11="COD",G11&lt;&gt;"RTO"),MAX(L11,M11*I11),0)</f>
        <v/>
      </c>
      <c r="R11" s="21">
        <f>O11+P11+Q11</f>
        <v/>
      </c>
      <c r="S11" s="22">
        <f>ROUND(R11*(1+$B$3),2)</f>
        <v/>
      </c>
      <c r="T11" s="23" t="n"/>
      <c r="U11" s="21">
        <f>IF(T11="","",ROUND(T11-S11,2))</f>
        <v/>
      </c>
      <c r="V11" s="6">
        <f>IF(T11="","",IF(ABS(U11)&lt;=$B$4,"PASS","FAIL"))</f>
        <v/>
      </c>
    </row>
    <row r="12">
      <c r="A12" s="14" t="inlineStr">
        <is>
          <t>CALC-06</t>
        </is>
      </c>
      <c r="B12" s="14" t="inlineStr">
        <is>
          <t>Surface E, 2.5 kg -&gt; 5 slabs</t>
        </is>
      </c>
      <c r="C12" s="14" t="inlineStr">
        <is>
          <t>SURFACE</t>
        </is>
      </c>
      <c r="D12" s="14" t="inlineStr">
        <is>
          <t>ALL</t>
        </is>
      </c>
      <c r="E12" s="14" t="inlineStr">
        <is>
          <t>E</t>
        </is>
      </c>
      <c r="F12" s="19" t="n">
        <v>2.5</v>
      </c>
      <c r="G12" s="19" t="inlineStr">
        <is>
          <t>Delivered</t>
        </is>
      </c>
      <c r="H12" s="19" t="inlineStr">
        <is>
          <t>PREPAID</t>
        </is>
      </c>
      <c r="I12" s="19" t="n">
        <v>0</v>
      </c>
      <c r="J12" s="19" t="n">
        <v>39</v>
      </c>
      <c r="K12" s="19" t="n">
        <v>37</v>
      </c>
      <c r="L12" s="19" t="n">
        <v>15</v>
      </c>
      <c r="M12" s="20" t="n">
        <v>0.011</v>
      </c>
      <c r="N12" s="6">
        <f>ROUNDUP(F12/0.5,0)</f>
        <v/>
      </c>
      <c r="O12" s="21">
        <f>N12*J12</f>
        <v/>
      </c>
      <c r="P12" s="21">
        <f>IF(G12="RTO",N12*K12,0)</f>
        <v/>
      </c>
      <c r="Q12" s="21">
        <f>IF(AND(H12="COD",G12&lt;&gt;"RTO"),MAX(L12,M12*I12),0)</f>
        <v/>
      </c>
      <c r="R12" s="21">
        <f>O12+P12+Q12</f>
        <v/>
      </c>
      <c r="S12" s="22">
        <f>ROUND(R12*(1+$B$3),2)</f>
        <v/>
      </c>
      <c r="T12" s="23" t="n"/>
      <c r="U12" s="21">
        <f>IF(T12="","",ROUND(T12-S12,2))</f>
        <v/>
      </c>
      <c r="V12" s="6">
        <f>IF(T12="","",IF(ABS(U12)&lt;=$B$4,"PASS","FAIL"))</f>
        <v/>
      </c>
    </row>
    <row r="13">
      <c r="A13" s="14" t="inlineStr">
        <is>
          <t>CALC-07</t>
        </is>
      </c>
      <c r="B13" s="14" t="inlineStr">
        <is>
          <t>Surface A COD 500 -&gt; flat Rs 15 wins</t>
        </is>
      </c>
      <c r="C13" s="14" t="inlineStr">
        <is>
          <t>SURFACE</t>
        </is>
      </c>
      <c r="D13" s="14" t="inlineStr">
        <is>
          <t>ALL</t>
        </is>
      </c>
      <c r="E13" s="14" t="inlineStr">
        <is>
          <t>A</t>
        </is>
      </c>
      <c r="F13" s="19" t="n">
        <v>0.5</v>
      </c>
      <c r="G13" s="19" t="inlineStr">
        <is>
          <t>Delivered</t>
        </is>
      </c>
      <c r="H13" s="19" t="inlineStr">
        <is>
          <t>COD</t>
        </is>
      </c>
      <c r="I13" s="19" t="n">
        <v>500</v>
      </c>
      <c r="J13" s="19" t="n">
        <v>20</v>
      </c>
      <c r="K13" s="19" t="n">
        <v>18</v>
      </c>
      <c r="L13" s="19" t="n">
        <v>15</v>
      </c>
      <c r="M13" s="20" t="n">
        <v>0.011</v>
      </c>
      <c r="N13" s="6">
        <f>ROUNDUP(F13/0.5,0)</f>
        <v/>
      </c>
      <c r="O13" s="21">
        <f>N13*J13</f>
        <v/>
      </c>
      <c r="P13" s="21">
        <f>IF(G13="RTO",N13*K13,0)</f>
        <v/>
      </c>
      <c r="Q13" s="21">
        <f>IF(AND(H13="COD",G13&lt;&gt;"RTO"),MAX(L13,M13*I13),0)</f>
        <v/>
      </c>
      <c r="R13" s="21">
        <f>O13+P13+Q13</f>
        <v/>
      </c>
      <c r="S13" s="22">
        <f>ROUND(R13*(1+$B$3),2)</f>
        <v/>
      </c>
      <c r="T13" s="23" t="n"/>
      <c r="U13" s="21">
        <f>IF(T13="","",ROUND(T13-S13,2))</f>
        <v/>
      </c>
      <c r="V13" s="6">
        <f>IF(T13="","",IF(ABS(U13)&lt;=$B$4,"PASS","FAIL"))</f>
        <v/>
      </c>
    </row>
    <row r="14">
      <c r="A14" s="14" t="inlineStr">
        <is>
          <t>CALC-08</t>
        </is>
      </c>
      <c r="B14" s="14" t="inlineStr">
        <is>
          <t>Surface A COD 2000 -&gt; 1.1% = 22 wins</t>
        </is>
      </c>
      <c r="C14" s="14" t="inlineStr">
        <is>
          <t>SURFACE</t>
        </is>
      </c>
      <c r="D14" s="14" t="inlineStr">
        <is>
          <t>ALL</t>
        </is>
      </c>
      <c r="E14" s="14" t="inlineStr">
        <is>
          <t>A</t>
        </is>
      </c>
      <c r="F14" s="19" t="n">
        <v>0.5</v>
      </c>
      <c r="G14" s="19" t="inlineStr">
        <is>
          <t>Delivered</t>
        </is>
      </c>
      <c r="H14" s="19" t="inlineStr">
        <is>
          <t>COD</t>
        </is>
      </c>
      <c r="I14" s="19" t="n">
        <v>2000</v>
      </c>
      <c r="J14" s="19" t="n">
        <v>20</v>
      </c>
      <c r="K14" s="19" t="n">
        <v>18</v>
      </c>
      <c r="L14" s="19" t="n">
        <v>15</v>
      </c>
      <c r="M14" s="20" t="n">
        <v>0.011</v>
      </c>
      <c r="N14" s="6">
        <f>ROUNDUP(F14/0.5,0)</f>
        <v/>
      </c>
      <c r="O14" s="21">
        <f>N14*J14</f>
        <v/>
      </c>
      <c r="P14" s="21">
        <f>IF(G14="RTO",N14*K14,0)</f>
        <v/>
      </c>
      <c r="Q14" s="21">
        <f>IF(AND(H14="COD",G14&lt;&gt;"RTO"),MAX(L14,M14*I14),0)</f>
        <v/>
      </c>
      <c r="R14" s="21">
        <f>O14+P14+Q14</f>
        <v/>
      </c>
      <c r="S14" s="22">
        <f>ROUND(R14*(1+$B$3),2)</f>
        <v/>
      </c>
      <c r="T14" s="23" t="n"/>
      <c r="U14" s="21">
        <f>IF(T14="","",ROUND(T14-S14,2))</f>
        <v/>
      </c>
      <c r="V14" s="6">
        <f>IF(T14="","",IF(ABS(U14)&lt;=$B$4,"PASS","FAIL"))</f>
        <v/>
      </c>
    </row>
    <row r="15">
      <c r="A15" s="14" t="inlineStr">
        <is>
          <t>CALC-09</t>
        </is>
      </c>
      <c r="B15" s="14" t="inlineStr">
        <is>
          <t>Surface C COD 1500 -&gt; 1.1% = 16.5</t>
        </is>
      </c>
      <c r="C15" s="14" t="inlineStr">
        <is>
          <t>SURFACE</t>
        </is>
      </c>
      <c r="D15" s="14" t="inlineStr">
        <is>
          <t>ALL</t>
        </is>
      </c>
      <c r="E15" s="14" t="inlineStr">
        <is>
          <t>C</t>
        </is>
      </c>
      <c r="F15" s="19" t="n">
        <v>0.5</v>
      </c>
      <c r="G15" s="19" t="inlineStr">
        <is>
          <t>Delivered</t>
        </is>
      </c>
      <c r="H15" s="19" t="inlineStr">
        <is>
          <t>COD</t>
        </is>
      </c>
      <c r="I15" s="19" t="n">
        <v>1500</v>
      </c>
      <c r="J15" s="19" t="n">
        <v>29</v>
      </c>
      <c r="K15" s="19" t="n">
        <v>27</v>
      </c>
      <c r="L15" s="19" t="n">
        <v>15</v>
      </c>
      <c r="M15" s="20" t="n">
        <v>0.011</v>
      </c>
      <c r="N15" s="6">
        <f>ROUNDUP(F15/0.5,0)</f>
        <v/>
      </c>
      <c r="O15" s="21">
        <f>N15*J15</f>
        <v/>
      </c>
      <c r="P15" s="21">
        <f>IF(G15="RTO",N15*K15,0)</f>
        <v/>
      </c>
      <c r="Q15" s="21">
        <f>IF(AND(H15="COD",G15&lt;&gt;"RTO"),MAX(L15,M15*I15),0)</f>
        <v/>
      </c>
      <c r="R15" s="21">
        <f>O15+P15+Q15</f>
        <v/>
      </c>
      <c r="S15" s="22">
        <f>ROUND(R15*(1+$B$3),2)</f>
        <v/>
      </c>
      <c r="T15" s="23" t="n"/>
      <c r="U15" s="21">
        <f>IF(T15="","",ROUND(T15-S15,2))</f>
        <v/>
      </c>
      <c r="V15" s="6">
        <f>IF(T15="","",IF(ABS(U15)&lt;=$B$4,"PASS","FAIL"))</f>
        <v/>
      </c>
    </row>
    <row r="16">
      <c r="A16" s="14" t="inlineStr">
        <is>
          <t>CALC-10</t>
        </is>
      </c>
      <c r="B16" s="14" t="inlineStr">
        <is>
          <t>Surface D RTO prepaid 0.5 kg</t>
        </is>
      </c>
      <c r="C16" s="14" t="inlineStr">
        <is>
          <t>SURFACE</t>
        </is>
      </c>
      <c r="D16" s="14" t="inlineStr">
        <is>
          <t>ALL</t>
        </is>
      </c>
      <c r="E16" s="14" t="inlineStr">
        <is>
          <t>D</t>
        </is>
      </c>
      <c r="F16" s="19" t="n">
        <v>0.5</v>
      </c>
      <c r="G16" s="19" t="inlineStr">
        <is>
          <t>RTO</t>
        </is>
      </c>
      <c r="H16" s="19" t="inlineStr">
        <is>
          <t>PREPAID</t>
        </is>
      </c>
      <c r="I16" s="19" t="n">
        <v>0</v>
      </c>
      <c r="J16" s="19" t="n">
        <v>33</v>
      </c>
      <c r="K16" s="19" t="n">
        <v>31</v>
      </c>
      <c r="L16" s="19" t="n">
        <v>15</v>
      </c>
      <c r="M16" s="20" t="n">
        <v>0.011</v>
      </c>
      <c r="N16" s="6">
        <f>ROUNDUP(F16/0.5,0)</f>
        <v/>
      </c>
      <c r="O16" s="21">
        <f>N16*J16</f>
        <v/>
      </c>
      <c r="P16" s="21">
        <f>IF(G16="RTO",N16*K16,0)</f>
        <v/>
      </c>
      <c r="Q16" s="21">
        <f>IF(AND(H16="COD",G16&lt;&gt;"RTO"),MAX(L16,M16*I16),0)</f>
        <v/>
      </c>
      <c r="R16" s="21">
        <f>O16+P16+Q16</f>
        <v/>
      </c>
      <c r="S16" s="22">
        <f>ROUND(R16*(1+$B$3),2)</f>
        <v/>
      </c>
      <c r="T16" s="23" t="n"/>
      <c r="U16" s="21">
        <f>IF(T16="","",ROUND(T16-S16,2))</f>
        <v/>
      </c>
      <c r="V16" s="6">
        <f>IF(T16="","",IF(ABS(U16)&lt;=$B$4,"PASS","FAIL"))</f>
        <v/>
      </c>
    </row>
    <row r="17">
      <c r="A17" s="14" t="inlineStr">
        <is>
          <t>CALC-11</t>
        </is>
      </c>
      <c r="B17" s="14" t="inlineStr">
        <is>
          <t>Surface D RTO prepaid 0.6 kg (AWB 49582213939574 from run 17)</t>
        </is>
      </c>
      <c r="C17" s="14" t="inlineStr">
        <is>
          <t>SURFACE</t>
        </is>
      </c>
      <c r="D17" s="14" t="inlineStr">
        <is>
          <t>ALL</t>
        </is>
      </c>
      <c r="E17" s="14" t="inlineStr">
        <is>
          <t>D</t>
        </is>
      </c>
      <c r="F17" s="19" t="n">
        <v>0.6</v>
      </c>
      <c r="G17" s="19" t="inlineStr">
        <is>
          <t>RTO</t>
        </is>
      </c>
      <c r="H17" s="19" t="inlineStr">
        <is>
          <t>PREPAID</t>
        </is>
      </c>
      <c r="I17" s="19" t="n">
        <v>0</v>
      </c>
      <c r="J17" s="19" t="n">
        <v>33</v>
      </c>
      <c r="K17" s="19" t="n">
        <v>31</v>
      </c>
      <c r="L17" s="19" t="n">
        <v>15</v>
      </c>
      <c r="M17" s="20" t="n">
        <v>0.011</v>
      </c>
      <c r="N17" s="6">
        <f>ROUNDUP(F17/0.5,0)</f>
        <v/>
      </c>
      <c r="O17" s="21">
        <f>N17*J17</f>
        <v/>
      </c>
      <c r="P17" s="21">
        <f>IF(G17="RTO",N17*K17,0)</f>
        <v/>
      </c>
      <c r="Q17" s="21">
        <f>IF(AND(H17="COD",G17&lt;&gt;"RTO"),MAX(L17,M17*I17),0)</f>
        <v/>
      </c>
      <c r="R17" s="21">
        <f>O17+P17+Q17</f>
        <v/>
      </c>
      <c r="S17" s="22">
        <f>ROUND(R17*(1+$B$3),2)</f>
        <v/>
      </c>
      <c r="T17" s="23" t="n"/>
      <c r="U17" s="21">
        <f>IF(T17="","",ROUND(T17-S17,2))</f>
        <v/>
      </c>
      <c r="V17" s="6">
        <f>IF(T17="","",IF(ABS(U17)&lt;=$B$4,"PASS","FAIL"))</f>
        <v/>
      </c>
    </row>
    <row r="18">
      <c r="A18" s="14" t="inlineStr">
        <is>
          <t>CALC-12</t>
        </is>
      </c>
      <c r="B18" s="14" t="inlineStr">
        <is>
          <t>Surface B RTO but COD order -&gt; no COD charge</t>
        </is>
      </c>
      <c r="C18" s="14" t="inlineStr">
        <is>
          <t>SURFACE</t>
        </is>
      </c>
      <c r="D18" s="14" t="inlineStr">
        <is>
          <t>ALL</t>
        </is>
      </c>
      <c r="E18" s="14" t="inlineStr">
        <is>
          <t>B</t>
        </is>
      </c>
      <c r="F18" s="19" t="n">
        <v>0.5</v>
      </c>
      <c r="G18" s="19" t="inlineStr">
        <is>
          <t>RTO</t>
        </is>
      </c>
      <c r="H18" s="19" t="inlineStr">
        <is>
          <t>COD</t>
        </is>
      </c>
      <c r="I18" s="19" t="n">
        <v>800</v>
      </c>
      <c r="J18" s="19" t="n">
        <v>22</v>
      </c>
      <c r="K18" s="19" t="n">
        <v>20</v>
      </c>
      <c r="L18" s="19" t="n">
        <v>15</v>
      </c>
      <c r="M18" s="20" t="n">
        <v>0.011</v>
      </c>
      <c r="N18" s="6">
        <f>ROUNDUP(F18/0.5,0)</f>
        <v/>
      </c>
      <c r="O18" s="21">
        <f>N18*J18</f>
        <v/>
      </c>
      <c r="P18" s="21">
        <f>IF(G18="RTO",N18*K18,0)</f>
        <v/>
      </c>
      <c r="Q18" s="21">
        <f>IF(AND(H18="COD",G18&lt;&gt;"RTO"),MAX(L18,M18*I18),0)</f>
        <v/>
      </c>
      <c r="R18" s="21">
        <f>O18+P18+Q18</f>
        <v/>
      </c>
      <c r="S18" s="22">
        <f>ROUND(R18*(1+$B$3),2)</f>
        <v/>
      </c>
      <c r="T18" s="23" t="n"/>
      <c r="U18" s="21">
        <f>IF(T18="","",ROUND(T18-S18,2))</f>
        <v/>
      </c>
      <c r="V18" s="6">
        <f>IF(T18="","",IF(ABS(U18)&lt;=$B$4,"PASS","FAIL"))</f>
        <v/>
      </c>
    </row>
    <row r="19">
      <c r="A19" s="14" t="inlineStr">
        <is>
          <t>CALC-13</t>
        </is>
      </c>
      <c r="B19" s="14" t="inlineStr">
        <is>
          <t>Air A COD 1000 -&gt; flat 28 wins</t>
        </is>
      </c>
      <c r="C19" s="14" t="inlineStr">
        <is>
          <t>AIR</t>
        </is>
      </c>
      <c r="D19" s="14" t="inlineStr">
        <is>
          <t>ALL</t>
        </is>
      </c>
      <c r="E19" s="14" t="inlineStr">
        <is>
          <t>A</t>
        </is>
      </c>
      <c r="F19" s="19" t="n">
        <v>0.5</v>
      </c>
      <c r="G19" s="19" t="inlineStr">
        <is>
          <t>Delivered</t>
        </is>
      </c>
      <c r="H19" s="19" t="inlineStr">
        <is>
          <t>COD</t>
        </is>
      </c>
      <c r="I19" s="19" t="n">
        <v>1000</v>
      </c>
      <c r="J19" s="19" t="n">
        <v>25</v>
      </c>
      <c r="K19" s="19" t="n">
        <v>25</v>
      </c>
      <c r="L19" s="19" t="n">
        <v>28</v>
      </c>
      <c r="M19" s="20" t="n">
        <v>0.015</v>
      </c>
      <c r="N19" s="6">
        <f>ROUNDUP(F19/0.5,0)</f>
        <v/>
      </c>
      <c r="O19" s="21">
        <f>N19*J19</f>
        <v/>
      </c>
      <c r="P19" s="21">
        <f>IF(G19="RTO",N19*K19,0)</f>
        <v/>
      </c>
      <c r="Q19" s="21">
        <f>IF(AND(H19="COD",G19&lt;&gt;"RTO"),MAX(L19,M19*I19),0)</f>
        <v/>
      </c>
      <c r="R19" s="21">
        <f>O19+P19+Q19</f>
        <v/>
      </c>
      <c r="S19" s="22">
        <f>ROUND(R19*(1+$B$3),2)</f>
        <v/>
      </c>
      <c r="T19" s="23" t="n"/>
      <c r="U19" s="21">
        <f>IF(T19="","",ROUND(T19-S19,2))</f>
        <v/>
      </c>
      <c r="V19" s="6">
        <f>IF(T19="","",IF(ABS(U19)&lt;=$B$4,"PASS","FAIL"))</f>
        <v/>
      </c>
    </row>
    <row r="20">
      <c r="A20" s="14" t="inlineStr">
        <is>
          <t>CALC-14</t>
        </is>
      </c>
      <c r="B20" s="14" t="inlineStr">
        <is>
          <t>Air A COD 3000 -&gt; 1.5% = 45 wins</t>
        </is>
      </c>
      <c r="C20" s="14" t="inlineStr">
        <is>
          <t>AIR</t>
        </is>
      </c>
      <c r="D20" s="14" t="inlineStr">
        <is>
          <t>ALL</t>
        </is>
      </c>
      <c r="E20" s="14" t="inlineStr">
        <is>
          <t>A</t>
        </is>
      </c>
      <c r="F20" s="19" t="n">
        <v>0.5</v>
      </c>
      <c r="G20" s="19" t="inlineStr">
        <is>
          <t>Delivered</t>
        </is>
      </c>
      <c r="H20" s="19" t="inlineStr">
        <is>
          <t>COD</t>
        </is>
      </c>
      <c r="I20" s="19" t="n">
        <v>3000</v>
      </c>
      <c r="J20" s="19" t="n">
        <v>25</v>
      </c>
      <c r="K20" s="19" t="n">
        <v>25</v>
      </c>
      <c r="L20" s="19" t="n">
        <v>28</v>
      </c>
      <c r="M20" s="20" t="n">
        <v>0.015</v>
      </c>
      <c r="N20" s="6">
        <f>ROUNDUP(F20/0.5,0)</f>
        <v/>
      </c>
      <c r="O20" s="21">
        <f>N20*J20</f>
        <v/>
      </c>
      <c r="P20" s="21">
        <f>IF(G20="RTO",N20*K20,0)</f>
        <v/>
      </c>
      <c r="Q20" s="21">
        <f>IF(AND(H20="COD",G20&lt;&gt;"RTO"),MAX(L20,M20*I20),0)</f>
        <v/>
      </c>
      <c r="R20" s="21">
        <f>O20+P20+Q20</f>
        <v/>
      </c>
      <c r="S20" s="22">
        <f>ROUND(R20*(1+$B$3),2)</f>
        <v/>
      </c>
      <c r="T20" s="23" t="n"/>
      <c r="U20" s="21">
        <f>IF(T20="","",ROUND(T20-S20,2))</f>
        <v/>
      </c>
      <c r="V20" s="6">
        <f>IF(T20="","",IF(ABS(U20)&lt;=$B$4,"PASS","FAIL"))</f>
        <v/>
      </c>
    </row>
    <row r="21">
      <c r="A21" s="14" t="inlineStr">
        <is>
          <t>CALC-15</t>
        </is>
      </c>
      <c r="B21" s="14" t="inlineStr">
        <is>
          <t>Air C, 1.0 kg prepaid</t>
        </is>
      </c>
      <c r="C21" s="14" t="inlineStr">
        <is>
          <t>AIR</t>
        </is>
      </c>
      <c r="D21" s="14" t="inlineStr">
        <is>
          <t>ALL</t>
        </is>
      </c>
      <c r="E21" s="14" t="inlineStr">
        <is>
          <t>C</t>
        </is>
      </c>
      <c r="F21" s="19" t="n">
        <v>1</v>
      </c>
      <c r="G21" s="19" t="inlineStr">
        <is>
          <t>Delivered</t>
        </is>
      </c>
      <c r="H21" s="19" t="inlineStr">
        <is>
          <t>PREPAID</t>
        </is>
      </c>
      <c r="I21" s="19" t="n">
        <v>0</v>
      </c>
      <c r="J21" s="19" t="n">
        <v>41</v>
      </c>
      <c r="K21" s="19" t="n">
        <v>41</v>
      </c>
      <c r="L21" s="19" t="n">
        <v>28</v>
      </c>
      <c r="M21" s="20" t="n">
        <v>0.015</v>
      </c>
      <c r="N21" s="6">
        <f>ROUNDUP(F21/0.5,0)</f>
        <v/>
      </c>
      <c r="O21" s="21">
        <f>N21*J21</f>
        <v/>
      </c>
      <c r="P21" s="21">
        <f>IF(G21="RTO",N21*K21,0)</f>
        <v/>
      </c>
      <c r="Q21" s="21">
        <f>IF(AND(H21="COD",G21&lt;&gt;"RTO"),MAX(L21,M21*I21),0)</f>
        <v/>
      </c>
      <c r="R21" s="21">
        <f>O21+P21+Q21</f>
        <v/>
      </c>
      <c r="S21" s="22">
        <f>ROUND(R21*(1+$B$3),2)</f>
        <v/>
      </c>
      <c r="T21" s="23" t="n"/>
      <c r="U21" s="21">
        <f>IF(T21="","",ROUND(T21-S21,2))</f>
        <v/>
      </c>
      <c r="V21" s="6">
        <f>IF(T21="","",IF(ABS(U21)&lt;=$B$4,"PASS","FAIL"))</f>
        <v/>
      </c>
    </row>
    <row r="22">
      <c r="A22" s="14" t="inlineStr">
        <is>
          <t>CALC-16</t>
        </is>
      </c>
      <c r="B22" s="14" t="inlineStr">
        <is>
          <t>Air E, 0.5 kg prepaid</t>
        </is>
      </c>
      <c r="C22" s="14" t="inlineStr">
        <is>
          <t>AIR</t>
        </is>
      </c>
      <c r="D22" s="14" t="inlineStr">
        <is>
          <t>ALL</t>
        </is>
      </c>
      <c r="E22" s="14" t="inlineStr">
        <is>
          <t>E</t>
        </is>
      </c>
      <c r="F22" s="19" t="n">
        <v>0.5</v>
      </c>
      <c r="G22" s="19" t="inlineStr">
        <is>
          <t>Delivered</t>
        </is>
      </c>
      <c r="H22" s="19" t="inlineStr">
        <is>
          <t>PREPAID</t>
        </is>
      </c>
      <c r="I22" s="19" t="n">
        <v>0</v>
      </c>
      <c r="J22" s="19" t="n">
        <v>80</v>
      </c>
      <c r="K22" s="19" t="n">
        <v>80</v>
      </c>
      <c r="L22" s="19" t="n">
        <v>28</v>
      </c>
      <c r="M22" s="20" t="n">
        <v>0.015</v>
      </c>
      <c r="N22" s="6">
        <f>ROUNDUP(F22/0.5,0)</f>
        <v/>
      </c>
      <c r="O22" s="21">
        <f>N22*J22</f>
        <v/>
      </c>
      <c r="P22" s="21">
        <f>IF(G22="RTO",N22*K22,0)</f>
        <v/>
      </c>
      <c r="Q22" s="21">
        <f>IF(AND(H22="COD",G22&lt;&gt;"RTO"),MAX(L22,M22*I22),0)</f>
        <v/>
      </c>
      <c r="R22" s="21">
        <f>O22+P22+Q22</f>
        <v/>
      </c>
      <c r="S22" s="22">
        <f>ROUND(R22*(1+$B$3),2)</f>
        <v/>
      </c>
      <c r="T22" s="23" t="n"/>
      <c r="U22" s="21">
        <f>IF(T22="","",ROUND(T22-S22,2))</f>
        <v/>
      </c>
      <c r="V22" s="6">
        <f>IF(T22="","",IF(ABS(U22)&lt;=$B$4,"PASS","FAIL"))</f>
        <v/>
      </c>
    </row>
    <row r="23">
      <c r="A23" s="14" t="inlineStr">
        <is>
          <t>CALC-17</t>
        </is>
      </c>
      <c r="B23" s="14" t="inlineStr">
        <is>
          <t>NDD A, 0.5 kg prepaid</t>
        </is>
      </c>
      <c r="C23" s="14" t="inlineStr">
        <is>
          <t>NDD</t>
        </is>
      </c>
      <c r="D23" s="14" t="inlineStr">
        <is>
          <t>ALL</t>
        </is>
      </c>
      <c r="E23" s="14" t="inlineStr">
        <is>
          <t>A</t>
        </is>
      </c>
      <c r="F23" s="19" t="n">
        <v>0.5</v>
      </c>
      <c r="G23" s="19" t="inlineStr">
        <is>
          <t>Delivered</t>
        </is>
      </c>
      <c r="H23" s="19" t="inlineStr">
        <is>
          <t>PREPAID</t>
        </is>
      </c>
      <c r="I23" s="19" t="n">
        <v>0</v>
      </c>
      <c r="J23" s="19" t="n">
        <v>27</v>
      </c>
      <c r="K23" s="19" t="n">
        <v>27</v>
      </c>
      <c r="L23" s="19" t="n">
        <v>28</v>
      </c>
      <c r="M23" s="20" t="n">
        <v>0.015</v>
      </c>
      <c r="N23" s="6">
        <f>ROUNDUP(F23/0.5,0)</f>
        <v/>
      </c>
      <c r="O23" s="21">
        <f>N23*J23</f>
        <v/>
      </c>
      <c r="P23" s="21">
        <f>IF(G23="RTO",N23*K23,0)</f>
        <v/>
      </c>
      <c r="Q23" s="21">
        <f>IF(AND(H23="COD",G23&lt;&gt;"RTO"),MAX(L23,M23*I23),0)</f>
        <v/>
      </c>
      <c r="R23" s="21">
        <f>O23+P23+Q23</f>
        <v/>
      </c>
      <c r="S23" s="22">
        <f>ROUND(R23*(1+$B$3),2)</f>
        <v/>
      </c>
      <c r="T23" s="23" t="n"/>
      <c r="U23" s="21">
        <f>IF(T23="","",ROUND(T23-S23,2))</f>
        <v/>
      </c>
      <c r="V23" s="6">
        <f>IF(T23="","",IF(ABS(U23)&lt;=$B$4,"PASS","FAIL"))</f>
        <v/>
      </c>
    </row>
    <row r="24">
      <c r="A24" s="14" t="inlineStr">
        <is>
          <t>CALC-18</t>
        </is>
      </c>
      <c r="B24" s="14" t="inlineStr">
        <is>
          <t>NDD E, 0.5 kg (rate is 0 in the card) - note actual behaviour</t>
        </is>
      </c>
      <c r="C24" s="14" t="inlineStr">
        <is>
          <t>NDD</t>
        </is>
      </c>
      <c r="D24" s="14" t="inlineStr">
        <is>
          <t>ALL</t>
        </is>
      </c>
      <c r="E24" s="14" t="inlineStr">
        <is>
          <t>E</t>
        </is>
      </c>
      <c r="F24" s="19" t="n">
        <v>0.5</v>
      </c>
      <c r="G24" s="19" t="inlineStr">
        <is>
          <t>Delivered</t>
        </is>
      </c>
      <c r="H24" s="19" t="inlineStr">
        <is>
          <t>PREPAID</t>
        </is>
      </c>
      <c r="I24" s="19" t="n">
        <v>0</v>
      </c>
      <c r="J24" s="19" t="n">
        <v>0</v>
      </c>
      <c r="K24" s="19" t="n">
        <v>0</v>
      </c>
      <c r="L24" s="19" t="n">
        <v>28</v>
      </c>
      <c r="M24" s="20" t="n">
        <v>0.015</v>
      </c>
      <c r="N24" s="6">
        <f>ROUNDUP(F24/0.5,0)</f>
        <v/>
      </c>
      <c r="O24" s="21">
        <f>N24*J24</f>
        <v/>
      </c>
      <c r="P24" s="21">
        <f>IF(G24="RTO",N24*K24,0)</f>
        <v/>
      </c>
      <c r="Q24" s="21">
        <f>IF(AND(H24="COD",G24&lt;&gt;"RTO"),MAX(L24,M24*I24),0)</f>
        <v/>
      </c>
      <c r="R24" s="21">
        <f>O24+P24+Q24</f>
        <v/>
      </c>
      <c r="S24" s="22">
        <f>ROUND(R24*(1+$B$3),2)</f>
        <v/>
      </c>
      <c r="T24" s="23" t="n"/>
      <c r="U24" s="21">
        <f>IF(T24="","",ROUND(T24-S24,2))</f>
        <v/>
      </c>
      <c r="V24" s="6">
        <f>IF(T24="","",IF(ABS(U24)&lt;=$B$4,"PASS","FAIL"))</f>
        <v/>
      </c>
    </row>
    <row r="25">
      <c r="A25" s="14" t="inlineStr">
        <is>
          <t>CALC-19</t>
        </is>
      </c>
      <c r="B25" s="14" t="inlineStr">
        <is>
          <t>Bluedart surface A, 0.5 kg prepaid</t>
        </is>
      </c>
      <c r="C25" s="14" t="inlineStr">
        <is>
          <t>SURFACE</t>
        </is>
      </c>
      <c r="D25" s="14" t="inlineStr">
        <is>
          <t>BLUEDART</t>
        </is>
      </c>
      <c r="E25" s="14" t="inlineStr">
        <is>
          <t>A</t>
        </is>
      </c>
      <c r="F25" s="19" t="n">
        <v>0.5</v>
      </c>
      <c r="G25" s="19" t="inlineStr">
        <is>
          <t>Delivered</t>
        </is>
      </c>
      <c r="H25" s="19" t="inlineStr">
        <is>
          <t>PREPAID</t>
        </is>
      </c>
      <c r="I25" s="19" t="n">
        <v>0</v>
      </c>
      <c r="J25" s="19" t="n">
        <v>24</v>
      </c>
      <c r="K25" s="19" t="n">
        <v>0</v>
      </c>
      <c r="L25" s="19" t="n">
        <v>15</v>
      </c>
      <c r="M25" s="20" t="n">
        <v>0.011</v>
      </c>
      <c r="N25" s="6">
        <f>ROUNDUP(F25/0.5,0)</f>
        <v/>
      </c>
      <c r="O25" s="21">
        <f>N25*J25</f>
        <v/>
      </c>
      <c r="P25" s="21">
        <f>IF(G25="RTO",N25*K25,0)</f>
        <v/>
      </c>
      <c r="Q25" s="21">
        <f>IF(AND(H25="COD",G25&lt;&gt;"RTO"),MAX(L25,M25*I25),0)</f>
        <v/>
      </c>
      <c r="R25" s="21">
        <f>O25+P25+Q25</f>
        <v/>
      </c>
      <c r="S25" s="22">
        <f>ROUND(R25*(1+$B$3),2)</f>
        <v/>
      </c>
      <c r="T25" s="23" t="n"/>
      <c r="U25" s="21">
        <f>IF(T25="","",ROUND(T25-S25,2))</f>
        <v/>
      </c>
      <c r="V25" s="6">
        <f>IF(T25="","",IF(ABS(U25)&lt;=$B$4,"PASS","FAIL"))</f>
        <v/>
      </c>
    </row>
    <row r="26">
      <c r="A26" s="14" t="inlineStr">
        <is>
          <t>CALC-20</t>
        </is>
      </c>
      <c r="B26" s="14" t="inlineStr">
        <is>
          <t>Bluedart surface B, 1.0 kg COD 300</t>
        </is>
      </c>
      <c r="C26" s="14" t="inlineStr">
        <is>
          <t>SURFACE</t>
        </is>
      </c>
      <c r="D26" s="14" t="inlineStr">
        <is>
          <t>BLUEDART</t>
        </is>
      </c>
      <c r="E26" s="14" t="inlineStr">
        <is>
          <t>B</t>
        </is>
      </c>
      <c r="F26" s="19" t="n">
        <v>1</v>
      </c>
      <c r="G26" s="19" t="inlineStr">
        <is>
          <t>Delivered</t>
        </is>
      </c>
      <c r="H26" s="19" t="inlineStr">
        <is>
          <t>COD</t>
        </is>
      </c>
      <c r="I26" s="19" t="n">
        <v>300</v>
      </c>
      <c r="J26" s="19" t="n">
        <v>26</v>
      </c>
      <c r="K26" s="19" t="n">
        <v>0</v>
      </c>
      <c r="L26" s="19" t="n">
        <v>15</v>
      </c>
      <c r="M26" s="20" t="n">
        <v>0.011</v>
      </c>
      <c r="N26" s="6">
        <f>ROUNDUP(F26/0.5,0)</f>
        <v/>
      </c>
      <c r="O26" s="21">
        <f>N26*J26</f>
        <v/>
      </c>
      <c r="P26" s="21">
        <f>IF(G26="RTO",N26*K26,0)</f>
        <v/>
      </c>
      <c r="Q26" s="21">
        <f>IF(AND(H26="COD",G26&lt;&gt;"RTO"),MAX(L26,M26*I26),0)</f>
        <v/>
      </c>
      <c r="R26" s="21">
        <f>O26+P26+Q26</f>
        <v/>
      </c>
      <c r="S26" s="22">
        <f>ROUND(R26*(1+$B$3),2)</f>
        <v/>
      </c>
      <c r="T26" s="23" t="n"/>
      <c r="U26" s="21">
        <f>IF(T26="","",ROUND(T26-S26,2))</f>
        <v/>
      </c>
      <c r="V26" s="6">
        <f>IF(T26="","",IF(ABS(U26)&lt;=$B$4,"PASS","FAIL"))</f>
        <v/>
      </c>
    </row>
    <row r="27">
      <c r="A27" s="14" t="inlineStr">
        <is>
          <t>CALC-21</t>
        </is>
      </c>
      <c r="B27" s="14" t="inlineStr">
        <is>
          <t>Bluedart surface C, 0.7 kg prepaid</t>
        </is>
      </c>
      <c r="C27" s="14" t="inlineStr">
        <is>
          <t>SURFACE</t>
        </is>
      </c>
      <c r="D27" s="14" t="inlineStr">
        <is>
          <t>BLUEDART</t>
        </is>
      </c>
      <c r="E27" s="14" t="inlineStr">
        <is>
          <t>C</t>
        </is>
      </c>
      <c r="F27" s="19" t="n">
        <v>0.7</v>
      </c>
      <c r="G27" s="19" t="inlineStr">
        <is>
          <t>Delivered</t>
        </is>
      </c>
      <c r="H27" s="19" t="inlineStr">
        <is>
          <t>PREPAID</t>
        </is>
      </c>
      <c r="I27" s="19" t="n">
        <v>0</v>
      </c>
      <c r="J27" s="19" t="n">
        <v>34</v>
      </c>
      <c r="K27" s="19" t="n">
        <v>0</v>
      </c>
      <c r="L27" s="19" t="n">
        <v>15</v>
      </c>
      <c r="M27" s="20" t="n">
        <v>0.011</v>
      </c>
      <c r="N27" s="6">
        <f>ROUNDUP(F27/0.5,0)</f>
        <v/>
      </c>
      <c r="O27" s="21">
        <f>N27*J27</f>
        <v/>
      </c>
      <c r="P27" s="21">
        <f>IF(G27="RTO",N27*K27,0)</f>
        <v/>
      </c>
      <c r="Q27" s="21">
        <f>IF(AND(H27="COD",G27&lt;&gt;"RTO"),MAX(L27,M27*I27),0)</f>
        <v/>
      </c>
      <c r="R27" s="21">
        <f>O27+P27+Q27</f>
        <v/>
      </c>
      <c r="S27" s="22">
        <f>ROUND(R27*(1+$B$3),2)</f>
        <v/>
      </c>
      <c r="T27" s="23" t="n"/>
      <c r="U27" s="21">
        <f>IF(T27="","",ROUND(T27-S27,2))</f>
        <v/>
      </c>
      <c r="V27" s="6">
        <f>IF(T27="","",IF(ABS(U27)&lt;=$B$4,"PASS","FAIL"))</f>
        <v/>
      </c>
    </row>
    <row r="29">
      <c r="A29" s="12" t="inlineStr">
        <is>
          <t>How to use: to test a case, create/upload a shipment and MIS row with these values, run the reconciliation, then type the app's 'Total freight (Calc)' into the yellow column.</t>
        </is>
      </c>
    </row>
  </sheetData>
  <mergeCells count="1">
    <mergeCell ref="D3:N4"/>
  </mergeCells>
  <conditionalFormatting sqref="V7:V27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6" customWidth="1" min="4" max="4"/>
    <col width="44" customWidth="1" min="5" max="5"/>
    <col width="30" customWidth="1" min="6" max="6"/>
    <col width="12" customWidth="1" min="7" max="7"/>
  </cols>
  <sheetData>
    <row r="1">
      <c r="A1" s="4" t="inlineStr">
        <is>
          <t>Status comparison rules</t>
        </is>
      </c>
    </row>
    <row r="2">
      <c r="A2" s="12" t="inlineStr">
        <is>
          <t>MIS 'Delivered' matches only API 'delivered'. MIS 'RTO' matches only 'rto_delivered' or 'return_delivered'. Any 'lost' status or 'rto_...' status other than rto_delivered becomes LOST (freight is not calculated).</t>
        </is>
      </c>
    </row>
    <row r="4">
      <c r="A4" s="5" t="inlineStr">
        <is>
          <t>Case ID</t>
        </is>
      </c>
      <c r="B4" s="5" t="inlineStr">
        <is>
          <t>MIS status</t>
        </is>
      </c>
      <c r="C4" s="5" t="inlineStr">
        <is>
          <t>Shipment (API) status</t>
        </is>
      </c>
      <c r="D4" s="5" t="inlineStr">
        <is>
          <t>Expected result</t>
        </is>
      </c>
      <c r="E4" s="5" t="inlineStr">
        <is>
          <t>Reason</t>
        </is>
      </c>
      <c r="F4" s="5" t="inlineStr">
        <is>
          <t>Actual result (you fill)</t>
        </is>
      </c>
      <c r="G4" s="5" t="inlineStr">
        <is>
          <t>Pass / Fail</t>
        </is>
      </c>
    </row>
    <row r="5">
      <c r="A5" s="13" t="inlineStr">
        <is>
          <t>STS-01</t>
        </is>
      </c>
      <c r="B5" s="14" t="inlineStr">
        <is>
          <t>Delivered</t>
        </is>
      </c>
      <c r="C5" s="14" t="inlineStr">
        <is>
          <t>delivered</t>
        </is>
      </c>
      <c r="D5" s="14" t="inlineStr">
        <is>
          <t>Status matches</t>
        </is>
      </c>
      <c r="E5" s="14" t="inlineStr">
        <is>
          <t>Exact match</t>
        </is>
      </c>
      <c r="F5" s="15" t="n"/>
      <c r="G5" s="15" t="n"/>
    </row>
    <row r="6">
      <c r="A6" s="13" t="inlineStr">
        <is>
          <t>STS-02</t>
        </is>
      </c>
      <c r="B6" s="14" t="inlineStr">
        <is>
          <t>Delivered</t>
        </is>
      </c>
      <c r="C6" s="14" t="inlineStr">
        <is>
          <t>in_transit</t>
        </is>
      </c>
      <c r="D6" s="14" t="inlineStr">
        <is>
          <t>STATUS_MISMATCH</t>
        </is>
      </c>
      <c r="E6" s="14" t="inlineStr">
        <is>
          <t>Not delivered yet</t>
        </is>
      </c>
      <c r="F6" s="15" t="n"/>
      <c r="G6" s="15" t="n"/>
    </row>
    <row r="7">
      <c r="A7" s="13" t="inlineStr">
        <is>
          <t>STS-03</t>
        </is>
      </c>
      <c r="B7" s="14" t="inlineStr">
        <is>
          <t>Delivered</t>
        </is>
      </c>
      <c r="C7" s="14" t="inlineStr">
        <is>
          <t>rto_delivered</t>
        </is>
      </c>
      <c r="D7" s="14" t="inlineStr">
        <is>
          <t>STATUS_MISMATCH</t>
        </is>
      </c>
      <c r="E7" s="14" t="inlineStr">
        <is>
          <t>Shipment came back</t>
        </is>
      </c>
      <c r="F7" s="15" t="n"/>
      <c r="G7" s="15" t="n"/>
    </row>
    <row r="8">
      <c r="A8" s="13" t="inlineStr">
        <is>
          <t>STS-04</t>
        </is>
      </c>
      <c r="B8" s="14" t="inlineStr">
        <is>
          <t>Delivered</t>
        </is>
      </c>
      <c r="C8" s="14" t="inlineStr">
        <is>
          <t>out_for_delivery</t>
        </is>
      </c>
      <c r="D8" s="14" t="inlineStr">
        <is>
          <t>STATUS_MISMATCH</t>
        </is>
      </c>
      <c r="E8" s="14" t="inlineStr">
        <is>
          <t>Not final</t>
        </is>
      </c>
      <c r="F8" s="15" t="n"/>
      <c r="G8" s="15" t="n"/>
    </row>
    <row r="9">
      <c r="A9" s="13" t="inlineStr">
        <is>
          <t>STS-05</t>
        </is>
      </c>
      <c r="B9" s="14" t="inlineStr">
        <is>
          <t>Delivered</t>
        </is>
      </c>
      <c r="C9" s="14" t="inlineStr">
        <is>
          <t>lost</t>
        </is>
      </c>
      <c r="D9" s="14" t="inlineStr">
        <is>
          <t>LOST</t>
        </is>
      </c>
      <c r="E9" s="14" t="inlineStr">
        <is>
          <t>Lost overrides everything</t>
        </is>
      </c>
      <c r="F9" s="15" t="n"/>
      <c r="G9" s="15" t="n"/>
    </row>
    <row r="10">
      <c r="A10" s="13" t="inlineStr">
        <is>
          <t>STS-06</t>
        </is>
      </c>
      <c r="B10" s="14" t="inlineStr">
        <is>
          <t>RTO</t>
        </is>
      </c>
      <c r="C10" s="14" t="inlineStr">
        <is>
          <t>rto_delivered</t>
        </is>
      </c>
      <c r="D10" s="14" t="inlineStr">
        <is>
          <t>Status matches</t>
        </is>
      </c>
      <c r="E10" s="14" t="inlineStr">
        <is>
          <t>RTO group</t>
        </is>
      </c>
      <c r="F10" s="15" t="n"/>
      <c r="G10" s="15" t="n"/>
    </row>
    <row r="11">
      <c r="A11" s="13" t="inlineStr">
        <is>
          <t>STS-07</t>
        </is>
      </c>
      <c r="B11" s="14" t="inlineStr">
        <is>
          <t>RTO</t>
        </is>
      </c>
      <c r="C11" s="14" t="inlineStr">
        <is>
          <t>return_delivered</t>
        </is>
      </c>
      <c r="D11" s="14" t="inlineStr">
        <is>
          <t>Status matches</t>
        </is>
      </c>
      <c r="E11" s="14" t="inlineStr">
        <is>
          <t>RTO group</t>
        </is>
      </c>
      <c r="F11" s="15" t="n"/>
      <c r="G11" s="15" t="n"/>
    </row>
    <row r="12">
      <c r="A12" s="13" t="inlineStr">
        <is>
          <t>STS-08</t>
        </is>
      </c>
      <c r="B12" s="14" t="inlineStr">
        <is>
          <t>RTO</t>
        </is>
      </c>
      <c r="C12" s="14" t="inlineStr">
        <is>
          <t>delivered</t>
        </is>
      </c>
      <c r="D12" s="14" t="inlineStr">
        <is>
          <t>STATUS_MISMATCH</t>
        </is>
      </c>
      <c r="E12" s="14" t="inlineStr">
        <is>
          <t>MIS says RTO, API says delivered</t>
        </is>
      </c>
      <c r="F12" s="15" t="n"/>
      <c r="G12" s="15" t="n"/>
    </row>
    <row r="13">
      <c r="A13" s="13" t="inlineStr">
        <is>
          <t>STS-09</t>
        </is>
      </c>
      <c r="B13" s="14" t="inlineStr">
        <is>
          <t>RTO</t>
        </is>
      </c>
      <c r="C13" s="14" t="inlineStr">
        <is>
          <t>rto_in_transit</t>
        </is>
      </c>
      <c r="D13" s="14" t="inlineStr">
        <is>
          <t>LOST</t>
        </is>
      </c>
      <c r="E13" s="14" t="inlineStr">
        <is>
          <t>Stuck RTO, claim order value</t>
        </is>
      </c>
      <c r="F13" s="15" t="n"/>
      <c r="G13" s="15" t="n"/>
    </row>
    <row r="14">
      <c r="A14" s="13" t="inlineStr">
        <is>
          <t>STS-10</t>
        </is>
      </c>
      <c r="B14" s="14" t="inlineStr">
        <is>
          <t>RTO</t>
        </is>
      </c>
      <c r="C14" s="14" t="inlineStr">
        <is>
          <t>rto_initiated</t>
        </is>
      </c>
      <c r="D14" s="14" t="inlineStr">
        <is>
          <t>LOST</t>
        </is>
      </c>
      <c r="E14" s="14" t="inlineStr">
        <is>
          <t>Stuck RTO</t>
        </is>
      </c>
      <c r="F14" s="15" t="n"/>
      <c r="G14" s="15" t="n"/>
    </row>
    <row r="15">
      <c r="A15" s="13" t="inlineStr">
        <is>
          <t>STS-11</t>
        </is>
      </c>
      <c r="B15" s="14" t="inlineStr">
        <is>
          <t>RTO</t>
        </is>
      </c>
      <c r="C15" s="14" t="inlineStr">
        <is>
          <t>rto_ndr</t>
        </is>
      </c>
      <c r="D15" s="14" t="inlineStr">
        <is>
          <t>LOST</t>
        </is>
      </c>
      <c r="E15" s="14" t="inlineStr">
        <is>
          <t>Stuck RTO</t>
        </is>
      </c>
      <c r="F15" s="15" t="n"/>
      <c r="G15" s="15" t="n"/>
    </row>
    <row r="16">
      <c r="A16" s="13" t="inlineStr">
        <is>
          <t>STS-12</t>
        </is>
      </c>
      <c r="B16" s="14" t="inlineStr">
        <is>
          <t>RTO</t>
        </is>
      </c>
      <c r="C16" s="14" t="inlineStr">
        <is>
          <t>rto_cancelled</t>
        </is>
      </c>
      <c r="D16" s="14" t="inlineStr">
        <is>
          <t>LOST</t>
        </is>
      </c>
      <c r="E16" s="14" t="inlineStr">
        <is>
          <t>Stuck RTO</t>
        </is>
      </c>
      <c r="F16" s="15" t="n"/>
      <c r="G16" s="15" t="n"/>
    </row>
    <row r="17">
      <c r="A17" s="13" t="inlineStr">
        <is>
          <t>STS-13</t>
        </is>
      </c>
      <c r="B17" s="14" t="inlineStr">
        <is>
          <t>RTO</t>
        </is>
      </c>
      <c r="C17" s="14" t="inlineStr">
        <is>
          <t>lost</t>
        </is>
      </c>
      <c r="D17" s="14" t="inlineStr">
        <is>
          <t>LOST</t>
        </is>
      </c>
      <c r="E17" s="14" t="inlineStr">
        <is>
          <t>Lost</t>
        </is>
      </c>
      <c r="F17" s="15" t="n"/>
      <c r="G17" s="15" t="n"/>
    </row>
    <row r="18">
      <c r="A18" s="13" t="inlineStr">
        <is>
          <t>STS-14</t>
        </is>
      </c>
      <c r="B18" s="14" t="inlineStr">
        <is>
          <t>Delivered</t>
        </is>
      </c>
      <c r="C18" s="14" t="inlineStr">
        <is>
          <t>rto_initiated</t>
        </is>
      </c>
      <c r="D18" s="14" t="inlineStr">
        <is>
          <t>LOST</t>
        </is>
      </c>
      <c r="E18" s="14" t="inlineStr">
        <is>
          <t>rto_* except rto_delivered is LOST</t>
        </is>
      </c>
      <c r="F18" s="15" t="n"/>
      <c r="G18" s="15" t="n"/>
    </row>
    <row r="19">
      <c r="A19" s="13" t="inlineStr">
        <is>
          <t>STS-15</t>
        </is>
      </c>
      <c r="B19" s="14" t="inlineStr">
        <is>
          <t>Delivered</t>
        </is>
      </c>
      <c r="C19" s="14" t="inlineStr">
        <is>
          <t>rto_in_transit</t>
        </is>
      </c>
      <c r="D19" s="14" t="inlineStr">
        <is>
          <t>LOST</t>
        </is>
      </c>
      <c r="E19" s="14" t="inlineStr">
        <is>
          <t>rto_* except rto_delivered is LOST</t>
        </is>
      </c>
      <c r="F19" s="15" t="n"/>
      <c r="G19" s="15" t="n"/>
    </row>
    <row r="20">
      <c r="A20" s="13" t="inlineStr">
        <is>
          <t>STS-16</t>
        </is>
      </c>
      <c r="B20" s="14" t="inlineStr">
        <is>
          <t>Delivered</t>
        </is>
      </c>
      <c r="C20" s="14" t="inlineStr">
        <is>
          <t>DELIVERED (capitals)</t>
        </is>
      </c>
      <c r="D20" s="14" t="inlineStr">
        <is>
          <t>Status matches</t>
        </is>
      </c>
      <c r="E20" s="14" t="inlineStr">
        <is>
          <t>Comparison ignores capitals</t>
        </is>
      </c>
      <c r="F20" s="15" t="n"/>
      <c r="G20" s="15" t="n"/>
    </row>
    <row r="21">
      <c r="A21" s="13" t="inlineStr">
        <is>
          <t>STS-17</t>
        </is>
      </c>
      <c r="B21" s="14" t="inlineStr">
        <is>
          <t>Delivered</t>
        </is>
      </c>
      <c r="C21" s="14" t="inlineStr">
        <is>
          <t>delivered (trailing space)</t>
        </is>
      </c>
      <c r="D21" s="14" t="inlineStr">
        <is>
          <t>Status matches</t>
        </is>
      </c>
      <c r="E21" s="14" t="inlineStr">
        <is>
          <t>Comparison ignores spaces around the text</t>
        </is>
      </c>
      <c r="F21" s="15" t="n"/>
      <c r="G21" s="15" t="n"/>
    </row>
    <row r="22">
      <c r="A22" s="13" t="inlineStr">
        <is>
          <t>STS-18</t>
        </is>
      </c>
      <c r="B22" s="14" t="inlineStr">
        <is>
          <t>(blank)</t>
        </is>
      </c>
      <c r="C22" s="14" t="inlineStr">
        <is>
          <t>delivered</t>
        </is>
      </c>
      <c r="D22" s="14" t="inlineStr">
        <is>
          <t>STATUS_MISMATCH</t>
        </is>
      </c>
      <c r="E22" s="14" t="inlineStr">
        <is>
          <t>A blank status is treated as unknown</t>
        </is>
      </c>
      <c r="F22" s="15" t="n"/>
      <c r="G22" s="15" t="n"/>
    </row>
    <row r="23">
      <c r="A23" s="13" t="inlineStr">
        <is>
          <t>STS-19</t>
        </is>
      </c>
      <c r="B23" s="14" t="inlineStr">
        <is>
          <t>Delivered</t>
        </is>
      </c>
      <c r="C23" s="14" t="inlineStr">
        <is>
          <t>(blank)</t>
        </is>
      </c>
      <c r="D23" s="14" t="inlineStr">
        <is>
          <t>STATUS_MISMATCH</t>
        </is>
      </c>
      <c r="E23" s="14" t="inlineStr">
        <is>
          <t>A blank shipment status never equals delivered</t>
        </is>
      </c>
      <c r="F23" s="15" t="n"/>
      <c r="G23" s="15" t="n"/>
    </row>
    <row r="24">
      <c r="A24" s="13" t="inlineStr">
        <is>
          <t>STS-20</t>
        </is>
      </c>
      <c r="B24" s="14" t="inlineStr">
        <is>
          <t>Delivered</t>
        </is>
      </c>
      <c r="C24" s="14" t="inlineStr">
        <is>
          <t>(AWB not in shipments)</t>
        </is>
      </c>
      <c r="D24" s="14" t="inlineStr">
        <is>
          <t>NO_API_DATA</t>
        </is>
      </c>
      <c r="E24" s="14" t="inlineStr">
        <is>
          <t>No ground-truth record</t>
        </is>
      </c>
      <c r="F24" s="15" t="n"/>
      <c r="G24" s="15" t="n"/>
    </row>
  </sheetData>
  <conditionalFormatting sqref="G5:G24">
    <cfRule type="cellIs" priority="1" operator="equal" dxfId="4">
      <formula>"Pass"</formula>
    </cfRule>
    <cfRule type="cellIs" priority="2" operator="equal" dxfId="5">
      <formula>"Fail"</formula>
    </cfRule>
  </conditionalFormatting>
  <dataValidations count="1">
    <dataValidation sqref="G5:G24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2026-09-23T19:04:58Z</dcterms:created>
  <dcterms:modified xsi:type="dcterms:W3CDTF">2026-09-23T19:04:59Z</dcterms:modified>
</cp:coreProperties>
</file>